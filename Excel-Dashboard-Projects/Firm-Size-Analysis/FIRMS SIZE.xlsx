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dmin\Downloads\DATA ANALYTICS\EXCEL\PROJECT 1\"/>
    </mc:Choice>
  </mc:AlternateContent>
  <xr:revisionPtr revIDLastSave="0" documentId="13_ncr:1_{460AAF2D-39C0-4DE2-BF44-D6F040E44D54}" xr6:coauthVersionLast="47" xr6:coauthVersionMax="47" xr10:uidLastSave="{00000000-0000-0000-0000-000000000000}"/>
  <bookViews>
    <workbookView xWindow="-120" yWindow="-120" windowWidth="20730" windowHeight="11040" xr2:uid="{47407F78-E1FA-4D55-B206-476D56BEB718}"/>
  </bookViews>
  <sheets>
    <sheet name="FIRM SIZE DASHBOARD" sheetId="1" r:id="rId1"/>
    <sheet name="Firm size analysis" sheetId="2" r:id="rId2"/>
  </sheets>
  <definedNames>
    <definedName name="Slicer_FirmSize">#N/A</definedName>
    <definedName name="Slicer_year">#N/A</definedName>
  </definedNames>
  <calcPr calcId="191029"/>
  <pivotCaches>
    <pivotCache cacheId="111" r:id="rId3"/>
    <pivotCache cacheId="114" r:id="rId4"/>
    <pivotCache cacheId="117" r:id="rId5"/>
    <pivotCache cacheId="120" r:id="rId6"/>
    <pivotCache cacheId="123" r:id="rId7"/>
    <pivotCache cacheId="126" r:id="rId8"/>
  </pivotCaches>
  <extLst>
    <ext xmlns:x14="http://schemas.microsoft.com/office/spreadsheetml/2009/9/main" uri="{876F7934-8845-4945-9796-88D515C7AA90}">
      <x14:pivotCaches>
        <pivotCache cacheId="8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 Measures_4a0bbe24-b3d2-4322-a93d-a5900eea9fce" name="All Measures" connection="Query - All Measures"/>
          <x15:modelTable id="FirmSize_8db03e95-7e8e-46df-95fa-0d6c2d483b91" name="FirmSize" connection="Query - FirmSiz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79" i="2" l="1" a="1"/>
  <c r="B79" i="2" s="1"/>
  <c r="B80" i="2" a="1"/>
  <c r="B80" i="2" s="1"/>
  <c r="B81" i="2" a="1"/>
  <c r="B81" i="2" s="1"/>
  <c r="B82" i="2" a="1"/>
  <c r="B82" i="2" s="1"/>
  <c r="B83" i="2" a="1"/>
  <c r="B83" i="2" s="1"/>
  <c r="B84" i="2" a="1"/>
  <c r="B84" i="2" s="1"/>
  <c r="B85" i="2" a="1"/>
  <c r="B85" i="2" s="1"/>
  <c r="B86" i="2" a="1"/>
  <c r="B86" i="2" s="1"/>
  <c r="B87" i="2" a="1"/>
  <c r="B87" i="2" s="1"/>
  <c r="B78" i="2" a="1"/>
  <c r="B78" i="2" s="1"/>
  <c r="B77" i="2" a="1"/>
  <c r="B77" i="2" s="1"/>
  <c r="C79" i="2" a="1"/>
  <c r="C79" i="2" s="1"/>
  <c r="C80" i="2" a="1"/>
  <c r="C80" i="2" s="1"/>
  <c r="C81" i="2" a="1"/>
  <c r="C81" i="2" s="1"/>
  <c r="C82" i="2" a="1"/>
  <c r="C82" i="2" s="1"/>
  <c r="C83" i="2" a="1"/>
  <c r="C83" i="2" s="1"/>
  <c r="C84" i="2" a="1"/>
  <c r="C84" i="2" s="1"/>
  <c r="C85" i="2" a="1"/>
  <c r="C85" i="2" s="1"/>
  <c r="C86" i="2" a="1"/>
  <c r="C86" i="2" s="1"/>
  <c r="C87" i="2" a="1"/>
  <c r="C87" i="2" s="1"/>
  <c r="C78" i="2" a="1"/>
  <c r="C78" i="2" s="1"/>
  <c r="C77" i="2" a="1"/>
  <c r="C77" i="2" s="1"/>
  <c r="A78" i="2"/>
  <c r="A79" i="2"/>
  <c r="A80" i="2"/>
  <c r="A81" i="2"/>
  <c r="A82" i="2"/>
  <c r="A83" i="2"/>
  <c r="A84" i="2"/>
  <c r="A85" i="2"/>
  <c r="A86" i="2"/>
  <c r="A87" i="2"/>
  <c r="A77" i="2"/>
  <c r="B38" i="2" l="1" a="1"/>
  <c r="B38" i="2" s="1"/>
  <c r="B39" i="2" a="1"/>
  <c r="B39" i="2" s="1"/>
  <c r="B40" i="2" a="1"/>
  <c r="B40" i="2" s="1"/>
  <c r="B41" i="2" a="1"/>
  <c r="B41" i="2" s="1"/>
  <c r="B42" i="2" a="1"/>
  <c r="B42" i="2" s="1"/>
  <c r="B43" i="2" a="1"/>
  <c r="B43" i="2" s="1"/>
  <c r="B44" i="2" a="1"/>
  <c r="B44" i="2" s="1"/>
  <c r="B45" i="2" a="1"/>
  <c r="B45" i="2" s="1"/>
  <c r="B46" i="2" a="1"/>
  <c r="B46" i="2" s="1"/>
  <c r="B37" i="2" a="1"/>
  <c r="B37" i="2" s="1"/>
  <c r="B36" i="2" a="1"/>
  <c r="B36" i="2" s="1"/>
  <c r="A37" i="2"/>
  <c r="A38" i="2"/>
  <c r="A39" i="2"/>
  <c r="A40" i="2"/>
  <c r="A41" i="2"/>
  <c r="A42" i="2"/>
  <c r="A43" i="2"/>
  <c r="A44" i="2"/>
  <c r="A45" i="2"/>
  <c r="A46" i="2"/>
  <c r="A3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057252-20FB-49B5-B484-C1A49EF82152}" name="Query - All Measures" description="Connection to the 'All Measures' query in the workbook." type="100" refreshedVersion="8" minRefreshableVersion="5">
    <extLst>
      <ext xmlns:x15="http://schemas.microsoft.com/office/spreadsheetml/2010/11/main" uri="{DE250136-89BD-433C-8126-D09CA5730AF9}">
        <x15:connection id="d87a369b-c95a-4cac-b29a-703843cb8d93">
          <x15:oledbPr connection="Provider=Microsoft.Mashup.OleDb.1;Data Source=$Workbook$;Location=&quot;All Measures&quot;;Extended Properties=&quot;&quot;">
            <x15:dbTables>
              <x15:dbTable name="All Measures"/>
            </x15:dbTables>
          </x15:oledbPr>
        </x15:connection>
      </ext>
    </extLst>
  </connection>
  <connection id="2" xr16:uid="{9140979E-749D-4F79-A10F-7D099F6B9ACC}" name="Query - FirmSize" description="Connection to the 'FirmSize' query in the workbook." type="100" refreshedVersion="8" minRefreshableVersion="5">
    <extLst>
      <ext xmlns:x15="http://schemas.microsoft.com/office/spreadsheetml/2010/11/main" uri="{DE250136-89BD-433C-8126-D09CA5730AF9}">
        <x15:connection id="57046a60-a780-4f2b-a8a8-5bc9869adb5e"/>
      </ext>
    </extLst>
  </connection>
  <connection id="3" xr16:uid="{8DE6419D-C9E5-4731-BE40-A5F8721C50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<sst xmlns="http://schemas.openxmlformats.org/spreadsheetml/2006/main" count="73" uniqueCount="28">
  <si>
    <t>Total Firms</t>
  </si>
  <si>
    <t>Average Exit Rate</t>
  </si>
  <si>
    <t>Average Entry Rate</t>
  </si>
  <si>
    <t>1 to 4</t>
  </si>
  <si>
    <t>10 to 19</t>
  </si>
  <si>
    <t>100 to 499</t>
  </si>
  <si>
    <t>1000 to 2499</t>
  </si>
  <si>
    <t>10000+</t>
  </si>
  <si>
    <t>20 to 99</t>
  </si>
  <si>
    <t>2500 to 4999</t>
  </si>
  <si>
    <t>5 to 9</t>
  </si>
  <si>
    <t>500 to 999</t>
  </si>
  <si>
    <t>5000 to 9999</t>
  </si>
  <si>
    <t>Sum of firms</t>
  </si>
  <si>
    <t>FirmSize</t>
  </si>
  <si>
    <t>Option Button</t>
  </si>
  <si>
    <t>Total Employment</t>
  </si>
  <si>
    <t>Average Survival Rate</t>
  </si>
  <si>
    <t>Average Reallocation Rate</t>
  </si>
  <si>
    <t>Sum of emp</t>
  </si>
  <si>
    <t>Average Net Job Creation Rate</t>
  </si>
  <si>
    <t>Sum of estabs</t>
  </si>
  <si>
    <t>Average of estabs_entry_rate</t>
  </si>
  <si>
    <t>Average of estabs_exit_rate</t>
  </si>
  <si>
    <t>Sum of job_creation</t>
  </si>
  <si>
    <t>Sum of job_destruction</t>
  </si>
  <si>
    <t>CheckBox Button</t>
  </si>
  <si>
    <t>Average of Death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</si>
</sst>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000"/>
    <numFmt numFmtId="166" formatCode="[&lt;999999]0.00,&quot; K&quot;;[&lt;999999999]0.00,,&quot; M&quot;;0.00,,,&quot; B&quot;"/>
  </numFmts>
  <fonts count="4" x14ac:knownFonts="1">
    <font>
      <sz val="11"/>
      <color theme="1"/>
      <name val="Calibri"/>
      <family val="2"/>
      <scheme val="minor"/>
    </font>
    <font>
      <sz val="11"/>
      <color rgb="FF00B050"/>
      <name val="Calibri"/>
      <family val="2"/>
      <scheme val="minor"/>
    </font>
    <font>
      <sz val="11"/>
      <name val="Calibri"/>
      <family val="2"/>
      <scheme val="minor"/>
    </font>
    <font>
      <sz val="8"/>
      <color rgb="FF000000"/>
      <name val="Segoe UI"/>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165" fontId="0" fillId="0" borderId="0" xfId="0" applyNumberFormat="1"/>
    <xf numFmtId="0" fontId="0" fillId="2" borderId="0" xfId="0" applyFill="1"/>
    <xf numFmtId="0" fontId="1" fillId="0" borderId="0" xfId="0" applyFont="1"/>
    <xf numFmtId="166" fontId="0" fillId="0" borderId="0" xfId="0" applyNumberFormat="1"/>
    <xf numFmtId="1" fontId="0" fillId="0" borderId="0" xfId="0" applyNumberFormat="1"/>
    <xf numFmtId="10" fontId="0" fillId="0" borderId="0" xfId="0" applyNumberFormat="1"/>
    <xf numFmtId="0" fontId="2" fillId="2" borderId="0" xfId="0" applyFont="1" applyFill="1"/>
    <xf numFmtId="1" fontId="0" fillId="2" borderId="0" xfId="0" applyNumberFormat="1" applyFill="1"/>
  </cellXfs>
  <cellStyles count="1">
    <cellStyle name="Normal" xfId="0" builtinId="0"/>
  </cellStyles>
  <dxfs count="9">
    <dxf>
      <numFmt numFmtId="164" formatCode="0.0%"/>
    </dxf>
    <dxf>
      <numFmt numFmtId="166" formatCode="[&lt;999999]0.00,&quot; K&quot;;[&lt;999999999]0.00,,&quot; M&quot;;0.00,,,&quot; B&quot;"/>
    </dxf>
    <dxf>
      <numFmt numFmtId="166" formatCode="[&lt;999999]0.00,&quot; K&quot;;[&lt;999999999]0.00,,&quot; M&quot;;0.00,,,&quot; B&quot;"/>
    </dxf>
    <dxf>
      <numFmt numFmtId="164" formatCode="0.0%"/>
    </dxf>
    <dxf>
      <numFmt numFmtId="164" formatCode="0.0%"/>
    </dxf>
    <dxf>
      <numFmt numFmtId="14" formatCode="0.00%"/>
    </dxf>
    <dxf>
      <numFmt numFmtId="164" formatCode="0.0%"/>
    </dxf>
    <dxf>
      <font>
        <b/>
        <color theme="1"/>
      </font>
      <border>
        <bottom style="thin">
          <color theme="9"/>
        </bottom>
        <vertical/>
        <horizontal/>
      </border>
    </dxf>
    <dxf>
      <font>
        <color theme="1"/>
      </font>
      <fill>
        <patternFill patternType="none">
          <fgColor auto="1"/>
          <bgColor auto="1"/>
        </patternFill>
      </fill>
      <border>
        <left style="thin">
          <color theme="0"/>
        </left>
        <right style="thin">
          <color theme="0"/>
        </right>
        <top style="thin">
          <color theme="0"/>
        </top>
        <bottom style="thin">
          <color theme="0"/>
        </bottom>
        <vertical/>
        <horizontal/>
      </border>
    </dxf>
  </dxfs>
  <tableStyles count="1" defaultTableStyle="TableStyleMedium2" defaultPivotStyle="PivotStyleLight16">
    <tableStyle name="SLICER" pivot="0" table="0" count="10" xr9:uid="{31C28577-69CA-49AF-A16B-31B117CF4345}">
      <tableStyleElement type="wholeTable" dxfId="8"/>
      <tableStyleElement type="headerRow" dxfId="7"/>
    </tableStyle>
  </tableStyles>
  <colors>
    <mruColors>
      <color rgb="FFFFFFFF"/>
      <color rgb="FFC0C0C0"/>
      <color rgb="FF618C03"/>
      <color rgb="FF95BFAC"/>
      <color rgb="FFAED911"/>
      <color rgb="FF365902"/>
      <color rgb="FF5B4373"/>
      <color rgb="FFEAF60D"/>
      <color rgb="FF1E5949"/>
      <color rgb="FFF2F2F2"/>
    </mruColors>
  </colors>
  <extLst>
    <ext xmlns:x14="http://schemas.microsoft.com/office/spreadsheetml/2009/9/main" uri="{46F421CA-312F-682f-3DD2-61675219B42D}">
      <x14:dxfs count="8">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24994659260841701"/>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50" Type="http://schemas.openxmlformats.org/officeDocument/2006/relationships/customXml" Target="../customXml/item3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eetMetadata" Target="metadata.xml"/><Relationship Id="rId29" Type="http://schemas.openxmlformats.org/officeDocument/2006/relationships/customXml" Target="../customXml/item11.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52" Type="http://schemas.openxmlformats.org/officeDocument/2006/relationships/customXml" Target="../customXml/item3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6.xml"/><Relationship Id="rId51" Type="http://schemas.openxmlformats.org/officeDocument/2006/relationships/customXml" Target="../customXml/item33.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7226028033620527E-2"/>
          <c:y val="0.1528109968455629"/>
          <c:w val="0.95961161137496043"/>
          <c:h val="0.57417211110762501"/>
        </c:manualLayout>
      </c:layout>
      <c:barChart>
        <c:barDir val="col"/>
        <c:grouping val="clustered"/>
        <c:varyColors val="0"/>
        <c:ser>
          <c:idx val="0"/>
          <c:order val="0"/>
          <c:tx>
            <c:strRef>
              <c:f>'Firm size analysis'!$B$36</c:f>
              <c:strCache>
                <c:ptCount val="1"/>
                <c:pt idx="0">
                  <c:v>Sum of firms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'Firm size analysis'!$A$37:$A$46</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analysis'!$B$37:$B$46</c:f>
              <c:numCache>
                <c:formatCode>[&lt;999999]0.00," K";[&lt;999999999]0.00,," M";0.00,,," B"</c:formatCode>
                <c:ptCount val="10"/>
                <c:pt idx="0">
                  <c:v>49257606</c:v>
                </c:pt>
                <c:pt idx="1">
                  <c:v>15253112</c:v>
                </c:pt>
                <c:pt idx="2">
                  <c:v>9453653</c:v>
                </c:pt>
                <c:pt idx="3">
                  <c:v>8073452</c:v>
                </c:pt>
                <c:pt idx="4">
                  <c:v>1404634</c:v>
                </c:pt>
                <c:pt idx="5">
                  <c:v>168240</c:v>
                </c:pt>
                <c:pt idx="6">
                  <c:v>103620</c:v>
                </c:pt>
                <c:pt idx="7">
                  <c:v>40256</c:v>
                </c:pt>
                <c:pt idx="8">
                  <c:v>22409</c:v>
                </c:pt>
                <c:pt idx="9">
                  <c:v>20208</c:v>
                </c:pt>
              </c:numCache>
            </c:numRef>
          </c:val>
          <c:extLst>
            <c:ext xmlns:c16="http://schemas.microsoft.com/office/drawing/2014/chart" uri="{C3380CC4-5D6E-409C-BE32-E72D297353CC}">
              <c16:uniqueId val="{00000000-09C2-4FC8-BEDB-988D0376083F}"/>
            </c:ext>
          </c:extLst>
        </c:ser>
        <c:dLbls>
          <c:showLegendKey val="0"/>
          <c:showVal val="0"/>
          <c:showCatName val="0"/>
          <c:showSerName val="0"/>
          <c:showPercent val="0"/>
          <c:showBubbleSize val="0"/>
        </c:dLbls>
        <c:gapWidth val="131"/>
        <c:overlap val="-27"/>
        <c:axId val="1171491743"/>
        <c:axId val="1171492159"/>
      </c:barChart>
      <c:catAx>
        <c:axId val="117149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492159"/>
        <c:crosses val="autoZero"/>
        <c:auto val="1"/>
        <c:lblAlgn val="ctr"/>
        <c:lblOffset val="100"/>
        <c:noMultiLvlLbl val="0"/>
      </c:catAx>
      <c:valAx>
        <c:axId val="1171492159"/>
        <c:scaling>
          <c:orientation val="minMax"/>
        </c:scaling>
        <c:delete val="1"/>
        <c:axPos val="l"/>
        <c:numFmt formatCode="[&lt;999999]0.00,&quot; K&quot;;[&lt;999999999]0.00,,&quot; M&quot;;0.00,,,&quot; B&quot;" sourceLinked="1"/>
        <c:majorTickMark val="none"/>
        <c:minorTickMark val="none"/>
        <c:tickLblPos val="nextTo"/>
        <c:crossAx val="117149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[FIRMS SIZE&amp;AGE.xlsx]Firm size analysis!PivotTable1</c:name>
    <c:fmtId val="13"/>
  </c:pivotSource>
  <c:chart>
    <c:autoTitleDeleted val="0"/>
    <c:pivotFmts>
      <c:pivotFmt>
        <c:idx val="0"/>
        <c:spPr>
          <a:solidFill>
            <a:schemeClr val="accent1"/>
          </a:solidFill>
          <a:ln w="28575" cap="rnd">
            <a:solidFill>
              <a:schemeClr val="accent6">
                <a:lumMod val="50000"/>
              </a:schemeClr>
            </a:solidFill>
            <a:round/>
          </a:ln>
          <a:effectLst/>
        </c:spPr>
        <c:marker>
          <c:symbol val="none"/>
        </c:marker>
      </c:pivotFmt>
      <c:pivotFmt>
        <c:idx val="1"/>
        <c:spPr>
          <a:solidFill>
            <a:schemeClr val="accent1"/>
          </a:solidFill>
          <a:ln w="28575" cap="rnd">
            <a:solidFill>
              <a:schemeClr val="accent4">
                <a:lumMod val="60000"/>
                <a:lumOff val="40000"/>
              </a:schemeClr>
            </a:solidFill>
            <a:round/>
          </a:ln>
          <a:effectLst/>
        </c:spPr>
        <c:marker>
          <c:symbol val="none"/>
        </c:marker>
      </c:pivotFmt>
      <c:pivotFmt>
        <c:idx val="2"/>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3937007874016E-2"/>
          <c:y val="0.10272376065351381"/>
          <c:w val="0.82064752082173142"/>
          <c:h val="0.48137072753546262"/>
        </c:manualLayout>
      </c:layout>
      <c:lineChart>
        <c:grouping val="standard"/>
        <c:varyColors val="0"/>
        <c:ser>
          <c:idx val="0"/>
          <c:order val="0"/>
          <c:tx>
            <c:strRef>
              <c:f>'Firm size analysis'!$B$49</c:f>
              <c:strCache>
                <c:ptCount val="1"/>
                <c:pt idx="0">
                  <c:v>Average of estabs_entry_rate</c:v>
                </c:pt>
              </c:strCache>
            </c:strRef>
          </c:tx>
          <c:spPr>
            <a:ln w="28575" cap="rnd">
              <a:solidFill>
                <a:schemeClr val="accent6">
                  <a:lumMod val="50000"/>
                </a:schemeClr>
              </a:solidFill>
              <a:round/>
            </a:ln>
            <a:effectLst/>
          </c:spPr>
          <c:marker>
            <c:symbol val="none"/>
          </c:marker>
          <c:cat>
            <c:strRef>
              <c:f>'Firm size analysis'!$A$50:$A$59</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analysis'!$B$50:$B$59</c:f>
              <c:numCache>
                <c:formatCode>0.0%</c:formatCode>
                <c:ptCount val="10"/>
                <c:pt idx="0">
                  <c:v>0.167778125</c:v>
                </c:pt>
                <c:pt idx="1">
                  <c:v>3.6190624999999997E-2</c:v>
                </c:pt>
                <c:pt idx="2">
                  <c:v>3.0066874999999993E-2</c:v>
                </c:pt>
                <c:pt idx="3">
                  <c:v>3.5050624999999995E-2</c:v>
                </c:pt>
                <c:pt idx="4">
                  <c:v>5.4476874999999994E-2</c:v>
                </c:pt>
                <c:pt idx="5">
                  <c:v>6.3363124999999992E-2</c:v>
                </c:pt>
                <c:pt idx="6">
                  <c:v>7.2553124999999996E-2</c:v>
                </c:pt>
                <c:pt idx="7">
                  <c:v>6.7091875000000009E-2</c:v>
                </c:pt>
                <c:pt idx="8">
                  <c:v>8.1176874999999996E-2</c:v>
                </c:pt>
                <c:pt idx="9">
                  <c:v>6.6525625000000005E-2</c:v>
                </c:pt>
              </c:numCache>
            </c:numRef>
          </c:val>
          <c:smooth val="0"/>
          <c:extLst>
            <c:ext xmlns:c16="http://schemas.microsoft.com/office/drawing/2014/chart" uri="{C3380CC4-5D6E-409C-BE32-E72D297353CC}">
              <c16:uniqueId val="{00000000-DEC5-4DB4-BDC9-6B0B9F99BE5B}"/>
            </c:ext>
          </c:extLst>
        </c:ser>
        <c:ser>
          <c:idx val="1"/>
          <c:order val="1"/>
          <c:tx>
            <c:strRef>
              <c:f>'Firm size analysis'!$C$49</c:f>
              <c:strCache>
                <c:ptCount val="1"/>
                <c:pt idx="0">
                  <c:v>Average of estabs_exit_rate</c:v>
                </c:pt>
              </c:strCache>
            </c:strRef>
          </c:tx>
          <c:spPr>
            <a:ln w="28575" cap="rnd">
              <a:solidFill>
                <a:schemeClr val="bg1">
                  <a:lumMod val="65000"/>
                </a:schemeClr>
              </a:solidFill>
              <a:round/>
            </a:ln>
            <a:effectLst/>
          </c:spPr>
          <c:marker>
            <c:symbol val="none"/>
          </c:marker>
          <c:cat>
            <c:strRef>
              <c:f>'Firm size analysis'!$A$50:$A$59</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analysis'!$C$50:$C$59</c:f>
              <c:numCache>
                <c:formatCode>0.0%</c:formatCode>
                <c:ptCount val="10"/>
                <c:pt idx="0">
                  <c:v>0.16116750000000002</c:v>
                </c:pt>
                <c:pt idx="1">
                  <c:v>3.5037499999999999E-2</c:v>
                </c:pt>
                <c:pt idx="2">
                  <c:v>2.851625E-2</c:v>
                </c:pt>
                <c:pt idx="3">
                  <c:v>2.8038750000000001E-2</c:v>
                </c:pt>
                <c:pt idx="4">
                  <c:v>3.9218750000000004E-2</c:v>
                </c:pt>
                <c:pt idx="5">
                  <c:v>4.7923749999999994E-2</c:v>
                </c:pt>
                <c:pt idx="6">
                  <c:v>5.7895624999999999E-2</c:v>
                </c:pt>
                <c:pt idx="7">
                  <c:v>6.0503124999999998E-2</c:v>
                </c:pt>
                <c:pt idx="8">
                  <c:v>6.2355624999999998E-2</c:v>
                </c:pt>
                <c:pt idx="9">
                  <c:v>7.4511875000000005E-2</c:v>
                </c:pt>
              </c:numCache>
            </c:numRef>
          </c:val>
          <c:smooth val="0"/>
          <c:extLst>
            <c:ext xmlns:c16="http://schemas.microsoft.com/office/drawing/2014/chart" uri="{C3380CC4-5D6E-409C-BE32-E72D297353CC}">
              <c16:uniqueId val="{00000001-DEC5-4DB4-BDC9-6B0B9F99BE5B}"/>
            </c:ext>
          </c:extLst>
        </c:ser>
        <c:dLbls>
          <c:showLegendKey val="0"/>
          <c:showVal val="0"/>
          <c:showCatName val="0"/>
          <c:showSerName val="0"/>
          <c:showPercent val="0"/>
          <c:showBubbleSize val="0"/>
        </c:dLbls>
        <c:smooth val="0"/>
        <c:axId val="2044243359"/>
        <c:axId val="2044242111"/>
      </c:lineChart>
      <c:catAx>
        <c:axId val="2044243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42111"/>
        <c:crosses val="autoZero"/>
        <c:auto val="1"/>
        <c:lblAlgn val="ctr"/>
        <c:lblOffset val="100"/>
        <c:noMultiLvlLbl val="0"/>
      </c:catAx>
      <c:valAx>
        <c:axId val="2044242111"/>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243359"/>
        <c:crosses val="autoZero"/>
        <c:crossBetween val="between"/>
      </c:valAx>
      <c:spPr>
        <a:noFill/>
        <a:ln>
          <a:noFill/>
        </a:ln>
        <a:effectLst/>
      </c:spPr>
    </c:plotArea>
    <c:legend>
      <c:legendPos val="tr"/>
      <c:layout>
        <c:manualLayout>
          <c:xMode val="edge"/>
          <c:yMode val="edge"/>
          <c:x val="0.66623725918019749"/>
          <c:y val="7.8431416582546112E-2"/>
          <c:w val="0.30258529554092162"/>
          <c:h val="0.25281075820578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312501471222247"/>
          <c:y val="5.1870180477675838E-2"/>
          <c:w val="0.79187501592144627"/>
          <c:h val="0.70287311541317055"/>
        </c:manualLayout>
      </c:layout>
      <c:barChart>
        <c:barDir val="bar"/>
        <c:grouping val="stacked"/>
        <c:varyColors val="0"/>
        <c:ser>
          <c:idx val="0"/>
          <c:order val="0"/>
          <c:tx>
            <c:strRef>
              <c:f>'Firm size analysis'!$B$77</c:f>
              <c:strCache>
                <c:ptCount val="1"/>
                <c:pt idx="0">
                  <c:v>Sum of job_creation</c:v>
                </c:pt>
              </c:strCache>
            </c:strRef>
          </c:tx>
          <c:spPr>
            <a:solidFill>
              <a:schemeClr val="accent6">
                <a:lumMod val="75000"/>
              </a:schemeClr>
            </a:solidFill>
            <a:ln>
              <a:noFill/>
            </a:ln>
            <a:effectLst/>
          </c:spPr>
          <c:invertIfNegative val="0"/>
          <c:cat>
            <c:strRef>
              <c:f>'Firm size analysis'!$A$78:$A$87</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analysis'!$B$78:$B$87</c:f>
              <c:numCache>
                <c:formatCode>[&lt;999999]0.00," K";[&lt;999999999]0.00,," M";0.00,,," B"</c:formatCode>
                <c:ptCount val="10"/>
                <c:pt idx="0">
                  <c:v>29788273</c:v>
                </c:pt>
                <c:pt idx="1">
                  <c:v>18988140</c:v>
                </c:pt>
                <c:pt idx="2">
                  <c:v>20143447</c:v>
                </c:pt>
                <c:pt idx="3">
                  <c:v>42359205</c:v>
                </c:pt>
                <c:pt idx="4">
                  <c:v>33465329</c:v>
                </c:pt>
                <c:pt idx="5">
                  <c:v>13154434</c:v>
                </c:pt>
                <c:pt idx="6">
                  <c:v>16490307</c:v>
                </c:pt>
                <c:pt idx="7">
                  <c:v>12457689</c:v>
                </c:pt>
                <c:pt idx="8">
                  <c:v>13020674</c:v>
                </c:pt>
                <c:pt idx="9">
                  <c:v>58164432</c:v>
                </c:pt>
              </c:numCache>
            </c:numRef>
          </c:val>
          <c:extLst>
            <c:ext xmlns:c16="http://schemas.microsoft.com/office/drawing/2014/chart" uri="{C3380CC4-5D6E-409C-BE32-E72D297353CC}">
              <c16:uniqueId val="{00000000-5296-445B-A9B1-974C823B6853}"/>
            </c:ext>
          </c:extLst>
        </c:ser>
        <c:ser>
          <c:idx val="1"/>
          <c:order val="1"/>
          <c:tx>
            <c:strRef>
              <c:f>'Firm size analysis'!$C$77</c:f>
              <c:strCache>
                <c:ptCount val="1"/>
                <c:pt idx="0">
                  <c:v> </c:v>
                </c:pt>
              </c:strCache>
            </c:strRef>
          </c:tx>
          <c:spPr>
            <a:solidFill>
              <a:schemeClr val="bg1">
                <a:lumMod val="50000"/>
              </a:schemeClr>
            </a:solidFill>
            <a:ln>
              <a:noFill/>
            </a:ln>
            <a:effectLst/>
          </c:spPr>
          <c:invertIfNegative val="0"/>
          <c:cat>
            <c:strRef>
              <c:f>'Firm size analysis'!$A$78:$A$87</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analysis'!$C$78:$C$87</c:f>
              <c:numCache>
                <c:formatCode>[&lt;999999]0.00," K";[&lt;999999999]0.00,," M";0.00,,," B"</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5296-445B-A9B1-974C823B6853}"/>
            </c:ext>
          </c:extLst>
        </c:ser>
        <c:dLbls>
          <c:showLegendKey val="0"/>
          <c:showVal val="0"/>
          <c:showCatName val="0"/>
          <c:showSerName val="0"/>
          <c:showPercent val="0"/>
          <c:showBubbleSize val="0"/>
        </c:dLbls>
        <c:gapWidth val="150"/>
        <c:overlap val="100"/>
        <c:axId val="942880863"/>
        <c:axId val="942879615"/>
      </c:barChart>
      <c:catAx>
        <c:axId val="94288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79615"/>
        <c:crosses val="autoZero"/>
        <c:auto val="1"/>
        <c:lblAlgn val="ctr"/>
        <c:lblOffset val="100"/>
        <c:noMultiLvlLbl val="0"/>
      </c:catAx>
      <c:valAx>
        <c:axId val="942879615"/>
        <c:scaling>
          <c:orientation val="minMax"/>
        </c:scaling>
        <c:delete val="0"/>
        <c:axPos val="b"/>
        <c:numFmt formatCode="[&lt;999999]0.00,&quot; K&quot;;[&lt;999999999]0.00,,&quot; M&quot;;0.00,,,&quot; 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880863"/>
        <c:crosses val="autoZero"/>
        <c:crossBetween val="between"/>
      </c:valAx>
      <c:spPr>
        <a:noFill/>
        <a:ln>
          <a:noFill/>
        </a:ln>
        <a:effectLst/>
      </c:spPr>
    </c:plotArea>
    <c:legend>
      <c:legendPos val="b"/>
      <c:layout>
        <c:manualLayout>
          <c:xMode val="edge"/>
          <c:yMode val="edge"/>
          <c:x val="0.27538974894257412"/>
          <c:y val="0.91089044689908205"/>
          <c:w val="0.44103002647716355"/>
          <c:h val="8.91095531009179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[FIRMS SIZE&amp;AGE.xlsx]Firm size analysis!PivotTable3</c:name>
    <c:fmtId val="6"/>
  </c:pivotSource>
  <c:chart>
    <c:autoTitleDeleted val="1"/>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1113976379512"/>
          <c:y val="0.10795280608395186"/>
          <c:w val="0.81917724945490789"/>
          <c:h val="0.78464843861160494"/>
        </c:manualLayout>
      </c:layout>
      <c:barChart>
        <c:barDir val="bar"/>
        <c:grouping val="clustered"/>
        <c:varyColors val="0"/>
        <c:ser>
          <c:idx val="0"/>
          <c:order val="0"/>
          <c:tx>
            <c:strRef>
              <c:f>'Firm size analysis'!$B$90</c:f>
              <c:strCache>
                <c:ptCount val="1"/>
                <c:pt idx="0">
                  <c:v>Total</c:v>
                </c:pt>
              </c:strCache>
            </c:strRef>
          </c:tx>
          <c:spPr>
            <a:solidFill>
              <a:schemeClr val="accent6">
                <a:lumMod val="50000"/>
              </a:schemeClr>
            </a:solidFill>
            <a:ln>
              <a:noFill/>
            </a:ln>
            <a:effectLst/>
          </c:spPr>
          <c:invertIfNegative val="0"/>
          <c:cat>
            <c:strRef>
              <c:f>'Firm size analysis'!$A$91:$A$100</c:f>
              <c:strCache>
                <c:ptCount val="10"/>
                <c:pt idx="0">
                  <c:v>1 to 4</c:v>
                </c:pt>
                <c:pt idx="1">
                  <c:v>5 to 9</c:v>
                </c:pt>
                <c:pt idx="2">
                  <c:v>10 to 19</c:v>
                </c:pt>
                <c:pt idx="3">
                  <c:v>20 to 99</c:v>
                </c:pt>
                <c:pt idx="4">
                  <c:v>100 to 499</c:v>
                </c:pt>
                <c:pt idx="5">
                  <c:v>500 to 999</c:v>
                </c:pt>
                <c:pt idx="6">
                  <c:v>1000 to 2499</c:v>
                </c:pt>
                <c:pt idx="7">
                  <c:v>2500 to 4999</c:v>
                </c:pt>
                <c:pt idx="8">
                  <c:v>5000 to 9999</c:v>
                </c:pt>
                <c:pt idx="9">
                  <c:v>10000+</c:v>
                </c:pt>
              </c:strCache>
            </c:strRef>
          </c:cat>
          <c:val>
            <c:numRef>
              <c:f>'Firm size analysis'!$B$91:$B$100</c:f>
              <c:numCache>
                <c:formatCode>0.00%</c:formatCode>
                <c:ptCount val="10"/>
                <c:pt idx="0">
                  <c:v>0.12249580420006745</c:v>
                </c:pt>
                <c:pt idx="1">
                  <c:v>2.8301066145246308E-2</c:v>
                </c:pt>
                <c:pt idx="2">
                  <c:v>2.0784284995498364E-2</c:v>
                </c:pt>
                <c:pt idx="3">
                  <c:v>1.3943726623624988E-2</c:v>
                </c:pt>
                <c:pt idx="4">
                  <c:v>6.7079693490463208E-3</c:v>
                </c:pt>
                <c:pt idx="5">
                  <c:v>2.7572533156925774E-3</c:v>
                </c:pt>
                <c:pt idx="6">
                  <c:v>1.9694696330354242E-3</c:v>
                </c:pt>
                <c:pt idx="7">
                  <c:v>1.6620249663163048E-3</c:v>
                </c:pt>
                <c:pt idx="8">
                  <c:v>3.3517680576503989E-4</c:v>
                </c:pt>
                <c:pt idx="9">
                  <c:v>0</c:v>
                </c:pt>
              </c:numCache>
            </c:numRef>
          </c:val>
          <c:extLst>
            <c:ext xmlns:c16="http://schemas.microsoft.com/office/drawing/2014/chart" uri="{C3380CC4-5D6E-409C-BE32-E72D297353CC}">
              <c16:uniqueId val="{00000000-C4DD-4D93-B138-60C47F6F52E4}"/>
            </c:ext>
          </c:extLst>
        </c:ser>
        <c:dLbls>
          <c:showLegendKey val="0"/>
          <c:showVal val="0"/>
          <c:showCatName val="0"/>
          <c:showSerName val="0"/>
          <c:showPercent val="0"/>
          <c:showBubbleSize val="0"/>
        </c:dLbls>
        <c:gapWidth val="182"/>
        <c:axId val="944138063"/>
        <c:axId val="944129327"/>
      </c:barChart>
      <c:catAx>
        <c:axId val="9441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129327"/>
        <c:crosses val="autoZero"/>
        <c:auto val="1"/>
        <c:lblAlgn val="ctr"/>
        <c:lblOffset val="100"/>
        <c:noMultiLvlLbl val="0"/>
      </c:catAx>
      <c:valAx>
        <c:axId val="94412932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13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Firm size analysis'!$B$3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CheckBox" checked="Checked" fmlaLink="'Firm size analysis'!$B$74" lockText="1" noThreeD="1"/>
</file>

<file path=xl/ctrlProps/ctrlProp5.xml><?xml version="1.0" encoding="utf-8"?>
<formControlPr xmlns="http://schemas.microsoft.com/office/spreadsheetml/2009/9/main" objectType="CheckBox" fmlaLink="'Firm size analysis'!$C$74"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281206</xdr:colOff>
      <xdr:row>23</xdr:row>
      <xdr:rowOff>163472</xdr:rowOff>
    </xdr:from>
    <xdr:to>
      <xdr:col>10</xdr:col>
      <xdr:colOff>265813</xdr:colOff>
      <xdr:row>37</xdr:row>
      <xdr:rowOff>189272</xdr:rowOff>
    </xdr:to>
    <xdr:sp macro="" textlink="">
      <xdr:nvSpPr>
        <xdr:cNvPr id="65" name="Rectangle: Rounded Corners 64">
          <a:extLst>
            <a:ext uri="{FF2B5EF4-FFF2-40B4-BE49-F238E27FC236}">
              <a16:creationId xmlns:a16="http://schemas.microsoft.com/office/drawing/2014/main" id="{00000000-0008-0000-0100-000041000000}"/>
            </a:ext>
          </a:extLst>
        </xdr:cNvPr>
        <xdr:cNvSpPr/>
      </xdr:nvSpPr>
      <xdr:spPr>
        <a:xfrm>
          <a:off x="6634600" y="4544972"/>
          <a:ext cx="6041401" cy="26928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5</xdr:col>
      <xdr:colOff>314323</xdr:colOff>
      <xdr:row>12</xdr:row>
      <xdr:rowOff>153455</xdr:rowOff>
    </xdr:from>
    <xdr:to>
      <xdr:col>10</xdr:col>
      <xdr:colOff>252412</xdr:colOff>
      <xdr:row>23</xdr:row>
      <xdr:rowOff>109955</xdr:rowOff>
    </xdr:to>
    <xdr:sp macro="" textlink="">
      <xdr:nvSpPr>
        <xdr:cNvPr id="48" name="Rectangle: Rounded Corners 47">
          <a:extLst>
            <a:ext uri="{FF2B5EF4-FFF2-40B4-BE49-F238E27FC236}">
              <a16:creationId xmlns:a16="http://schemas.microsoft.com/office/drawing/2014/main" id="{00000000-0008-0000-0100-000030000000}"/>
            </a:ext>
          </a:extLst>
        </xdr:cNvPr>
        <xdr:cNvSpPr/>
      </xdr:nvSpPr>
      <xdr:spPr>
        <a:xfrm>
          <a:off x="6714063" y="2439455"/>
          <a:ext cx="5961594" cy="20520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2</xdr:col>
      <xdr:colOff>481012</xdr:colOff>
      <xdr:row>0</xdr:row>
      <xdr:rowOff>47627</xdr:rowOff>
    </xdr:from>
    <xdr:to>
      <xdr:col>6</xdr:col>
      <xdr:colOff>435264</xdr:colOff>
      <xdr:row>3</xdr:row>
      <xdr:rowOff>138527</xdr:rowOff>
    </xdr:to>
    <xdr:sp macro="" textlink="">
      <xdr:nvSpPr>
        <xdr:cNvPr id="23" name="Rectangle: Rounded Corners 22">
          <a:extLst>
            <a:ext uri="{FF2B5EF4-FFF2-40B4-BE49-F238E27FC236}">
              <a16:creationId xmlns:a16="http://schemas.microsoft.com/office/drawing/2014/main" id="{00000000-0008-0000-0100-000017000000}"/>
            </a:ext>
          </a:extLst>
        </xdr:cNvPr>
        <xdr:cNvSpPr/>
      </xdr:nvSpPr>
      <xdr:spPr>
        <a:xfrm>
          <a:off x="3400424" y="47627"/>
          <a:ext cx="4785304" cy="6624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33336</xdr:colOff>
      <xdr:row>3</xdr:row>
      <xdr:rowOff>190497</xdr:rowOff>
    </xdr:from>
    <xdr:to>
      <xdr:col>10</xdr:col>
      <xdr:colOff>228600</xdr:colOff>
      <xdr:row>12</xdr:row>
      <xdr:rowOff>85722</xdr:rowOff>
    </xdr:to>
    <xdr:sp macro="" textlink="">
      <xdr:nvSpPr>
        <xdr:cNvPr id="73" name="Rectangle: Rounded Corners 72">
          <a:extLst>
            <a:ext uri="{FF2B5EF4-FFF2-40B4-BE49-F238E27FC236}">
              <a16:creationId xmlns:a16="http://schemas.microsoft.com/office/drawing/2014/main" id="{00000000-0008-0000-0100-000049000000}"/>
            </a:ext>
          </a:extLst>
        </xdr:cNvPr>
        <xdr:cNvSpPr/>
      </xdr:nvSpPr>
      <xdr:spPr>
        <a:xfrm>
          <a:off x="66672" y="761997"/>
          <a:ext cx="12561361" cy="1609725"/>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2</xdr:col>
      <xdr:colOff>490537</xdr:colOff>
      <xdr:row>0</xdr:row>
      <xdr:rowOff>161924</xdr:rowOff>
    </xdr:from>
    <xdr:to>
      <xdr:col>3</xdr:col>
      <xdr:colOff>223836</xdr:colOff>
      <xdr:row>2</xdr:row>
      <xdr:rowOff>152399</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419474" y="161924"/>
          <a:ext cx="68579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baseline="0"/>
            <a:t>Firm Size </a:t>
          </a:r>
        </a:p>
        <a:p>
          <a:endParaRPr lang="en-US" sz="1050" b="1"/>
        </a:p>
      </xdr:txBody>
    </xdr:sp>
    <xdr:clientData/>
  </xdr:twoCellAnchor>
  <xdr:twoCellAnchor>
    <xdr:from>
      <xdr:col>4</xdr:col>
      <xdr:colOff>385609</xdr:colOff>
      <xdr:row>5</xdr:row>
      <xdr:rowOff>28572</xdr:rowOff>
    </xdr:from>
    <xdr:to>
      <xdr:col>5</xdr:col>
      <xdr:colOff>496009</xdr:colOff>
      <xdr:row>11</xdr:row>
      <xdr:rowOff>145572</xdr:rowOff>
    </xdr:to>
    <xdr:sp macro="" textlink="">
      <xdr:nvSpPr>
        <xdr:cNvPr id="32" name="Rectangle: Rounded Corners 31">
          <a:extLst>
            <a:ext uri="{FF2B5EF4-FFF2-40B4-BE49-F238E27FC236}">
              <a16:creationId xmlns:a16="http://schemas.microsoft.com/office/drawing/2014/main" id="{00000000-0008-0000-0100-000020000000}"/>
            </a:ext>
          </a:extLst>
        </xdr:cNvPr>
        <xdr:cNvSpPr/>
      </xdr:nvSpPr>
      <xdr:spPr>
        <a:xfrm>
          <a:off x="5628968" y="981072"/>
          <a:ext cx="1435238"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1</xdr:col>
      <xdr:colOff>383312</xdr:colOff>
      <xdr:row>5</xdr:row>
      <xdr:rowOff>28572</xdr:rowOff>
    </xdr:from>
    <xdr:to>
      <xdr:col>2</xdr:col>
      <xdr:colOff>493712</xdr:colOff>
      <xdr:row>11</xdr:row>
      <xdr:rowOff>145572</xdr:rowOff>
    </xdr:to>
    <xdr:sp macro="" textlink="">
      <xdr:nvSpPr>
        <xdr:cNvPr id="33" name="Rectangle: Rounded Corners 32">
          <a:extLst>
            <a:ext uri="{FF2B5EF4-FFF2-40B4-BE49-F238E27FC236}">
              <a16:creationId xmlns:a16="http://schemas.microsoft.com/office/drawing/2014/main" id="{00000000-0008-0000-0100-000021000000}"/>
            </a:ext>
          </a:extLst>
        </xdr:cNvPr>
        <xdr:cNvSpPr/>
      </xdr:nvSpPr>
      <xdr:spPr>
        <a:xfrm>
          <a:off x="1981062" y="981072"/>
          <a:ext cx="1435237"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3</xdr:col>
      <xdr:colOff>79661</xdr:colOff>
      <xdr:row>5</xdr:row>
      <xdr:rowOff>28572</xdr:rowOff>
    </xdr:from>
    <xdr:to>
      <xdr:col>4</xdr:col>
      <xdr:colOff>190061</xdr:colOff>
      <xdr:row>11</xdr:row>
      <xdr:rowOff>145572</xdr:rowOff>
    </xdr:to>
    <xdr:sp macro="" textlink="">
      <xdr:nvSpPr>
        <xdr:cNvPr id="34" name="Rectangle: Rounded Corners 33">
          <a:extLst>
            <a:ext uri="{FF2B5EF4-FFF2-40B4-BE49-F238E27FC236}">
              <a16:creationId xmlns:a16="http://schemas.microsoft.com/office/drawing/2014/main" id="{00000000-0008-0000-0100-000022000000}"/>
            </a:ext>
          </a:extLst>
        </xdr:cNvPr>
        <xdr:cNvSpPr/>
      </xdr:nvSpPr>
      <xdr:spPr>
        <a:xfrm>
          <a:off x="3802635" y="981072"/>
          <a:ext cx="1435237"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77364</xdr:colOff>
      <xdr:row>5</xdr:row>
      <xdr:rowOff>28572</xdr:rowOff>
    </xdr:from>
    <xdr:to>
      <xdr:col>1</xdr:col>
      <xdr:colOff>187764</xdr:colOff>
      <xdr:row>11</xdr:row>
      <xdr:rowOff>145572</xdr:rowOff>
    </xdr:to>
    <xdr:sp macro="" textlink="">
      <xdr:nvSpPr>
        <xdr:cNvPr id="35" name="Rectangle: Rounded Corners 34">
          <a:extLst>
            <a:ext uri="{FF2B5EF4-FFF2-40B4-BE49-F238E27FC236}">
              <a16:creationId xmlns:a16="http://schemas.microsoft.com/office/drawing/2014/main" id="{00000000-0008-0000-0100-000023000000}"/>
            </a:ext>
          </a:extLst>
        </xdr:cNvPr>
        <xdr:cNvSpPr/>
      </xdr:nvSpPr>
      <xdr:spPr>
        <a:xfrm>
          <a:off x="154728" y="981072"/>
          <a:ext cx="1435238" cy="1260000"/>
        </a:xfrm>
        <a:prstGeom prst="roundRect">
          <a:avLst>
            <a:gd name="adj" fmla="val 6108"/>
          </a:avLst>
        </a:prstGeom>
        <a:solidFill>
          <a:srgbClr val="95BFAC">
            <a:alpha val="85000"/>
          </a:srgbClr>
        </a:solidFill>
        <a:ln>
          <a:noFill/>
        </a:ln>
        <a:effectLst>
          <a:outerShdw blurRad="635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7</xdr:col>
      <xdr:colOff>387906</xdr:colOff>
      <xdr:row>5</xdr:row>
      <xdr:rowOff>19047</xdr:rowOff>
    </xdr:from>
    <xdr:to>
      <xdr:col>8</xdr:col>
      <xdr:colOff>498306</xdr:colOff>
      <xdr:row>11</xdr:row>
      <xdr:rowOff>136047</xdr:rowOff>
    </xdr:to>
    <xdr:sp macro="" textlink="">
      <xdr:nvSpPr>
        <xdr:cNvPr id="38" name="Rectangle: Rounded Corners 37">
          <a:extLst>
            <a:ext uri="{FF2B5EF4-FFF2-40B4-BE49-F238E27FC236}">
              <a16:creationId xmlns:a16="http://schemas.microsoft.com/office/drawing/2014/main" id="{00000000-0008-0000-0100-000026000000}"/>
            </a:ext>
          </a:extLst>
        </xdr:cNvPr>
        <xdr:cNvSpPr/>
      </xdr:nvSpPr>
      <xdr:spPr>
        <a:xfrm>
          <a:off x="9276875" y="971547"/>
          <a:ext cx="1435237"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9</xdr:col>
      <xdr:colOff>84255</xdr:colOff>
      <xdr:row>5</xdr:row>
      <xdr:rowOff>19047</xdr:rowOff>
    </xdr:from>
    <xdr:to>
      <xdr:col>10</xdr:col>
      <xdr:colOff>194655</xdr:colOff>
      <xdr:row>11</xdr:row>
      <xdr:rowOff>136047</xdr:rowOff>
    </xdr:to>
    <xdr:sp macro="" textlink="">
      <xdr:nvSpPr>
        <xdr:cNvPr id="39" name="Rectangle: Rounded Corners 38">
          <a:extLst>
            <a:ext uri="{FF2B5EF4-FFF2-40B4-BE49-F238E27FC236}">
              <a16:creationId xmlns:a16="http://schemas.microsoft.com/office/drawing/2014/main" id="{00000000-0008-0000-0100-000027000000}"/>
            </a:ext>
          </a:extLst>
        </xdr:cNvPr>
        <xdr:cNvSpPr/>
      </xdr:nvSpPr>
      <xdr:spPr>
        <a:xfrm>
          <a:off x="11098448" y="971547"/>
          <a:ext cx="1435237"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6</xdr:col>
      <xdr:colOff>81958</xdr:colOff>
      <xdr:row>5</xdr:row>
      <xdr:rowOff>19047</xdr:rowOff>
    </xdr:from>
    <xdr:to>
      <xdr:col>7</xdr:col>
      <xdr:colOff>192358</xdr:colOff>
      <xdr:row>11</xdr:row>
      <xdr:rowOff>136047</xdr:rowOff>
    </xdr:to>
    <xdr:sp macro="" textlink="">
      <xdr:nvSpPr>
        <xdr:cNvPr id="40" name="Rectangle: Rounded Corners 39">
          <a:extLst>
            <a:ext uri="{FF2B5EF4-FFF2-40B4-BE49-F238E27FC236}">
              <a16:creationId xmlns:a16="http://schemas.microsoft.com/office/drawing/2014/main" id="{00000000-0008-0000-0100-000028000000}"/>
            </a:ext>
          </a:extLst>
        </xdr:cNvPr>
        <xdr:cNvSpPr/>
      </xdr:nvSpPr>
      <xdr:spPr>
        <a:xfrm>
          <a:off x="7450541" y="971547"/>
          <a:ext cx="1435238" cy="1260000"/>
        </a:xfrm>
        <a:prstGeom prst="roundRect">
          <a:avLst>
            <a:gd name="adj" fmla="val 6108"/>
          </a:avLst>
        </a:prstGeom>
        <a:solidFill>
          <a:srgbClr val="95BFAC">
            <a:alpha val="85000"/>
          </a:srgbClr>
        </a:solidFill>
        <a:ln>
          <a:noFill/>
        </a:ln>
        <a:effectLst>
          <a:outerShdw blurRad="38100" sx="102000" sy="102000" algn="ctr" rotWithShape="0">
            <a:prstClr val="black">
              <a:alpha val="5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164507</xdr:colOff>
      <xdr:row>5</xdr:row>
      <xdr:rowOff>66671</xdr:rowOff>
    </xdr:from>
    <xdr:to>
      <xdr:col>1</xdr:col>
      <xdr:colOff>40682</xdr:colOff>
      <xdr:row>6</xdr:row>
      <xdr:rowOff>180971</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29014" y="1019171"/>
          <a:ext cx="96678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Firms</a:t>
          </a:r>
        </a:p>
        <a:p>
          <a:pPr algn="ctr"/>
          <a:endParaRPr lang="en-US" sz="1200" b="1"/>
        </a:p>
      </xdr:txBody>
    </xdr:sp>
    <xdr:clientData/>
  </xdr:twoCellAnchor>
  <xdr:twoCellAnchor>
    <xdr:from>
      <xdr:col>9</xdr:col>
      <xdr:colOff>86912</xdr:colOff>
      <xdr:row>5</xdr:row>
      <xdr:rowOff>66670</xdr:rowOff>
    </xdr:from>
    <xdr:to>
      <xdr:col>10</xdr:col>
      <xdr:colOff>229791</xdr:colOff>
      <xdr:row>7</xdr:row>
      <xdr:rowOff>180971</xdr:rowOff>
    </xdr:to>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1103762" y="1019170"/>
          <a:ext cx="1500195"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t>Average Reallocation Rate</a:t>
          </a:r>
        </a:p>
        <a:p>
          <a:pPr algn="ctr"/>
          <a:endParaRPr lang="en-US" sz="1200" b="1"/>
        </a:p>
        <a:p>
          <a:pPr algn="ctr"/>
          <a:endParaRPr lang="en-US" sz="1200" b="1"/>
        </a:p>
      </xdr:txBody>
    </xdr:sp>
    <xdr:clientData/>
  </xdr:twoCellAnchor>
  <xdr:twoCellAnchor>
    <xdr:from>
      <xdr:col>1</xdr:col>
      <xdr:colOff>409373</xdr:colOff>
      <xdr:row>5</xdr:row>
      <xdr:rowOff>66671</xdr:rowOff>
    </xdr:from>
    <xdr:to>
      <xdr:col>2</xdr:col>
      <xdr:colOff>440725</xdr:colOff>
      <xdr:row>7</xdr:row>
      <xdr:rowOff>180972</xdr:rowOff>
    </xdr:to>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2033184" y="1019171"/>
          <a:ext cx="1277141" cy="495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Employment </a:t>
          </a:r>
        </a:p>
        <a:p>
          <a:pPr algn="ctr"/>
          <a:endParaRPr lang="en-US" sz="1200" b="1"/>
        </a:p>
      </xdr:txBody>
    </xdr:sp>
    <xdr:clientData/>
  </xdr:twoCellAnchor>
  <xdr:twoCellAnchor>
    <xdr:from>
      <xdr:col>7</xdr:col>
      <xdr:colOff>415948</xdr:colOff>
      <xdr:row>5</xdr:row>
      <xdr:rowOff>57145</xdr:rowOff>
    </xdr:from>
    <xdr:to>
      <xdr:col>8</xdr:col>
      <xdr:colOff>492147</xdr:colOff>
      <xdr:row>7</xdr:row>
      <xdr:rowOff>152396</xdr:rowOff>
    </xdr:to>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9332959" y="1009645"/>
          <a:ext cx="1366835"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Survival Rate</a:t>
          </a:r>
        </a:p>
        <a:p>
          <a:pPr algn="ctr"/>
          <a:endParaRPr lang="en-US" sz="1200" b="1"/>
        </a:p>
        <a:p>
          <a:pPr algn="ctr"/>
          <a:endParaRPr lang="en-US" sz="1200" b="1"/>
        </a:p>
      </xdr:txBody>
    </xdr:sp>
    <xdr:clientData/>
  </xdr:twoCellAnchor>
  <xdr:twoCellAnchor>
    <xdr:from>
      <xdr:col>3</xdr:col>
      <xdr:colOff>100509</xdr:colOff>
      <xdr:row>5</xdr:row>
      <xdr:rowOff>66671</xdr:rowOff>
    </xdr:from>
    <xdr:to>
      <xdr:col>4</xdr:col>
      <xdr:colOff>146170</xdr:colOff>
      <xdr:row>8</xdr:row>
      <xdr:rowOff>19047</xdr:rowOff>
    </xdr:to>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3844331" y="1019171"/>
          <a:ext cx="1305759" cy="52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Entry Rate</a:t>
          </a:r>
        </a:p>
        <a:p>
          <a:pPr algn="ctr"/>
          <a:endParaRPr lang="en-US" sz="1200" b="1"/>
        </a:p>
      </xdr:txBody>
    </xdr:sp>
    <xdr:clientData/>
  </xdr:twoCellAnchor>
  <xdr:twoCellAnchor>
    <xdr:from>
      <xdr:col>4</xdr:col>
      <xdr:colOff>389089</xdr:colOff>
      <xdr:row>5</xdr:row>
      <xdr:rowOff>66671</xdr:rowOff>
    </xdr:from>
    <xdr:to>
      <xdr:col>5</xdr:col>
      <xdr:colOff>503389</xdr:colOff>
      <xdr:row>6</xdr:row>
      <xdr:rowOff>180971</xdr:rowOff>
    </xdr:to>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5635928" y="1019171"/>
          <a:ext cx="144303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Exit Rate</a:t>
          </a:r>
        </a:p>
        <a:p>
          <a:pPr algn="ctr"/>
          <a:endParaRPr lang="en-US" sz="1200" b="1"/>
        </a:p>
      </xdr:txBody>
    </xdr:sp>
    <xdr:clientData/>
  </xdr:twoCellAnchor>
  <xdr:twoCellAnchor>
    <xdr:from>
      <xdr:col>6</xdr:col>
      <xdr:colOff>100681</xdr:colOff>
      <xdr:row>5</xdr:row>
      <xdr:rowOff>57146</xdr:rowOff>
    </xdr:from>
    <xdr:to>
      <xdr:col>7</xdr:col>
      <xdr:colOff>184420</xdr:colOff>
      <xdr:row>7</xdr:row>
      <xdr:rowOff>142871</xdr:rowOff>
    </xdr:to>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7487987" y="1009646"/>
          <a:ext cx="1381916"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Net</a:t>
          </a:r>
          <a:r>
            <a:rPr lang="en-US" sz="1200" b="1" baseline="0"/>
            <a:t> Job Creation Rate</a:t>
          </a:r>
          <a:endParaRPr lang="en-US" sz="1200" b="1"/>
        </a:p>
        <a:p>
          <a:pPr algn="ctr"/>
          <a:endParaRPr lang="en-US" sz="1200" b="1"/>
        </a:p>
      </xdr:txBody>
    </xdr:sp>
    <xdr:clientData/>
  </xdr:twoCellAnchor>
  <xdr:twoCellAnchor>
    <xdr:from>
      <xdr:col>0</xdr:col>
      <xdr:colOff>134538</xdr:colOff>
      <xdr:row>8</xdr:row>
      <xdr:rowOff>57147</xdr:rowOff>
    </xdr:from>
    <xdr:to>
      <xdr:col>1</xdr:col>
      <xdr:colOff>70651</xdr:colOff>
      <xdr:row>9</xdr:row>
      <xdr:rowOff>171447</xdr:rowOff>
    </xdr:to>
    <xdr:sp macro="" textlink="'Firm size analysis'!A4">
      <xdr:nvSpPr>
        <xdr:cNvPr id="50" name="TextBox 49">
          <a:extLst>
            <a:ext uri="{FF2B5EF4-FFF2-40B4-BE49-F238E27FC236}">
              <a16:creationId xmlns:a16="http://schemas.microsoft.com/office/drawing/2014/main" id="{00000000-0008-0000-0100-000032000000}"/>
            </a:ext>
          </a:extLst>
        </xdr:cNvPr>
        <xdr:cNvSpPr txBox="1"/>
      </xdr:nvSpPr>
      <xdr:spPr>
        <a:xfrm>
          <a:off x="269076" y="1581147"/>
          <a:ext cx="108666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A2AC6FD-6256-42AD-99C4-77292E6F899E}" type="TxLink">
            <a:rPr lang="en-US" sz="1600" b="1" i="0" u="none" strike="noStrike">
              <a:solidFill>
                <a:srgbClr val="000000"/>
              </a:solidFill>
              <a:latin typeface="Calibri"/>
              <a:ea typeface="Calibri"/>
              <a:cs typeface="Calibri"/>
            </a:rPr>
            <a:pPr marL="0" indent="0" algn="ctr"/>
            <a:t>83.80 M</a:t>
          </a:fld>
          <a:endParaRPr lang="en-US" sz="1600" b="1" i="0" u="none" strike="noStrike">
            <a:solidFill>
              <a:srgbClr val="000000"/>
            </a:solidFill>
            <a:latin typeface="Calibri"/>
            <a:ea typeface="Calibri"/>
            <a:cs typeface="Calibri"/>
          </a:endParaRPr>
        </a:p>
      </xdr:txBody>
    </xdr:sp>
    <xdr:clientData/>
  </xdr:twoCellAnchor>
  <xdr:twoCellAnchor>
    <xdr:from>
      <xdr:col>1</xdr:col>
      <xdr:colOff>386949</xdr:colOff>
      <xdr:row>8</xdr:row>
      <xdr:rowOff>57147</xdr:rowOff>
    </xdr:from>
    <xdr:to>
      <xdr:col>2</xdr:col>
      <xdr:colOff>463150</xdr:colOff>
      <xdr:row>9</xdr:row>
      <xdr:rowOff>171447</xdr:rowOff>
    </xdr:to>
    <xdr:sp macro="" textlink="'Firm size analysis'!B4">
      <xdr:nvSpPr>
        <xdr:cNvPr id="52" name="TextBox 51">
          <a:extLst>
            <a:ext uri="{FF2B5EF4-FFF2-40B4-BE49-F238E27FC236}">
              <a16:creationId xmlns:a16="http://schemas.microsoft.com/office/drawing/2014/main" id="{00000000-0008-0000-0100-000034000000}"/>
            </a:ext>
          </a:extLst>
        </xdr:cNvPr>
        <xdr:cNvSpPr txBox="1"/>
      </xdr:nvSpPr>
      <xdr:spPr>
        <a:xfrm>
          <a:off x="1988336" y="1581147"/>
          <a:ext cx="136683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405FC8-F3D5-42F8-A61A-C670AB9ADDA5}" type="TxLink">
            <a:rPr lang="en-US" sz="1600" b="1" i="0" u="none" strike="noStrike">
              <a:solidFill>
                <a:srgbClr val="000000"/>
              </a:solidFill>
              <a:latin typeface="Calibri"/>
              <a:ea typeface="Calibri"/>
              <a:cs typeface="Calibri"/>
            </a:rPr>
            <a:pPr marL="0" indent="0" algn="ctr"/>
            <a:t>1.98 B</a:t>
          </a:fld>
          <a:endParaRPr lang="en-US" sz="1600" b="1" i="0" u="none" strike="noStrike">
            <a:solidFill>
              <a:srgbClr val="000000"/>
            </a:solidFill>
            <a:latin typeface="Calibri"/>
            <a:ea typeface="Calibri"/>
            <a:cs typeface="Calibri"/>
          </a:endParaRPr>
        </a:p>
      </xdr:txBody>
    </xdr:sp>
    <xdr:clientData/>
  </xdr:twoCellAnchor>
  <xdr:twoCellAnchor>
    <xdr:from>
      <xdr:col>3</xdr:col>
      <xdr:colOff>185252</xdr:colOff>
      <xdr:row>8</xdr:row>
      <xdr:rowOff>57147</xdr:rowOff>
    </xdr:from>
    <xdr:to>
      <xdr:col>4</xdr:col>
      <xdr:colOff>61427</xdr:colOff>
      <xdr:row>9</xdr:row>
      <xdr:rowOff>171447</xdr:rowOff>
    </xdr:to>
    <xdr:sp macro="" textlink="'Firm size analysis'!C4">
      <xdr:nvSpPr>
        <xdr:cNvPr id="54" name="TextBox 53">
          <a:extLst>
            <a:ext uri="{FF2B5EF4-FFF2-40B4-BE49-F238E27FC236}">
              <a16:creationId xmlns:a16="http://schemas.microsoft.com/office/drawing/2014/main" id="{00000000-0008-0000-0100-000036000000}"/>
            </a:ext>
          </a:extLst>
        </xdr:cNvPr>
        <xdr:cNvSpPr txBox="1"/>
      </xdr:nvSpPr>
      <xdr:spPr>
        <a:xfrm>
          <a:off x="4013817" y="1581147"/>
          <a:ext cx="96678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227DAF-3D8B-4B13-8B37-9B7724BF48EB}" type="TxLink">
            <a:rPr lang="en-US" sz="1600" b="1" i="0" u="none" strike="noStrike">
              <a:solidFill>
                <a:srgbClr val="000000"/>
              </a:solidFill>
              <a:latin typeface="Calibri"/>
              <a:ea typeface="Calibri"/>
              <a:cs typeface="Calibri"/>
            </a:rPr>
            <a:pPr algn="ctr"/>
            <a:t>6.7%</a:t>
          </a:fld>
          <a:endParaRPr lang="en-US" sz="1600" b="1"/>
        </a:p>
      </xdr:txBody>
    </xdr:sp>
    <xdr:clientData/>
  </xdr:twoCellAnchor>
  <xdr:twoCellAnchor>
    <xdr:from>
      <xdr:col>4</xdr:col>
      <xdr:colOff>508151</xdr:colOff>
      <xdr:row>8</xdr:row>
      <xdr:rowOff>57147</xdr:rowOff>
    </xdr:from>
    <xdr:to>
      <xdr:col>5</xdr:col>
      <xdr:colOff>384326</xdr:colOff>
      <xdr:row>9</xdr:row>
      <xdr:rowOff>171447</xdr:rowOff>
    </xdr:to>
    <xdr:sp macro="" textlink="'Firm size analysis'!D4">
      <xdr:nvSpPr>
        <xdr:cNvPr id="56" name="TextBox 55">
          <a:extLst>
            <a:ext uri="{FF2B5EF4-FFF2-40B4-BE49-F238E27FC236}">
              <a16:creationId xmlns:a16="http://schemas.microsoft.com/office/drawing/2014/main" id="{00000000-0008-0000-0100-000038000000}"/>
            </a:ext>
          </a:extLst>
        </xdr:cNvPr>
        <xdr:cNvSpPr txBox="1"/>
      </xdr:nvSpPr>
      <xdr:spPr>
        <a:xfrm>
          <a:off x="5874052" y="1581147"/>
          <a:ext cx="96678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1F8D4BE-F272-4CC8-9EB3-B3CB93F0F8B6}" type="TxLink">
            <a:rPr lang="en-US" sz="1600" b="1" i="0" u="none" strike="noStrike">
              <a:solidFill>
                <a:srgbClr val="000000"/>
              </a:solidFill>
              <a:latin typeface="Calibri"/>
              <a:ea typeface="Calibri"/>
              <a:cs typeface="Calibri"/>
            </a:rPr>
            <a:pPr algn="ctr"/>
            <a:t>6.0%</a:t>
          </a:fld>
          <a:endParaRPr lang="en-US" sz="1600" b="1"/>
        </a:p>
      </xdr:txBody>
    </xdr:sp>
    <xdr:clientData/>
  </xdr:twoCellAnchor>
  <xdr:twoCellAnchor>
    <xdr:from>
      <xdr:col>7</xdr:col>
      <xdr:colOff>515960</xdr:colOff>
      <xdr:row>8</xdr:row>
      <xdr:rowOff>57147</xdr:rowOff>
    </xdr:from>
    <xdr:to>
      <xdr:col>8</xdr:col>
      <xdr:colOff>392135</xdr:colOff>
      <xdr:row>9</xdr:row>
      <xdr:rowOff>171447</xdr:rowOff>
    </xdr:to>
    <xdr:sp macro="" textlink="'Firm size analysis'!F4">
      <xdr:nvSpPr>
        <xdr:cNvPr id="58" name="TextBox 57">
          <a:extLst>
            <a:ext uri="{FF2B5EF4-FFF2-40B4-BE49-F238E27FC236}">
              <a16:creationId xmlns:a16="http://schemas.microsoft.com/office/drawing/2014/main" id="{00000000-0008-0000-0100-00003A000000}"/>
            </a:ext>
          </a:extLst>
        </xdr:cNvPr>
        <xdr:cNvSpPr txBox="1"/>
      </xdr:nvSpPr>
      <xdr:spPr>
        <a:xfrm>
          <a:off x="9532983" y="1581147"/>
          <a:ext cx="96678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CF57508-2A67-422C-B307-95CA1839BF8A}" type="TxLink">
            <a:rPr lang="en-US" sz="1600" b="1" i="0" u="none" strike="noStrike">
              <a:solidFill>
                <a:srgbClr val="000000"/>
              </a:solidFill>
              <a:latin typeface="Calibri"/>
              <a:ea typeface="Calibri"/>
              <a:cs typeface="Calibri"/>
            </a:rPr>
            <a:pPr marL="0" indent="0" algn="ctr"/>
            <a:t>97.7%</a:t>
          </a:fld>
          <a:endParaRPr lang="en-US" sz="1600" b="1" i="0" u="none" strike="noStrike">
            <a:solidFill>
              <a:srgbClr val="000000"/>
            </a:solidFill>
            <a:latin typeface="Calibri"/>
            <a:ea typeface="Calibri"/>
            <a:cs typeface="Calibri"/>
          </a:endParaRPr>
        </a:p>
      </xdr:txBody>
    </xdr:sp>
    <xdr:clientData/>
  </xdr:twoCellAnchor>
  <xdr:twoCellAnchor>
    <xdr:from>
      <xdr:col>9</xdr:col>
      <xdr:colOff>201368</xdr:colOff>
      <xdr:row>8</xdr:row>
      <xdr:rowOff>57147</xdr:rowOff>
    </xdr:from>
    <xdr:to>
      <xdr:col>10</xdr:col>
      <xdr:colOff>77543</xdr:colOff>
      <xdr:row>9</xdr:row>
      <xdr:rowOff>171447</xdr:rowOff>
    </xdr:to>
    <xdr:sp macro="" textlink="'Firm size analysis'!G4">
      <xdr:nvSpPr>
        <xdr:cNvPr id="60" name="TextBox 59">
          <a:extLst>
            <a:ext uri="{FF2B5EF4-FFF2-40B4-BE49-F238E27FC236}">
              <a16:creationId xmlns:a16="http://schemas.microsoft.com/office/drawing/2014/main" id="{00000000-0008-0000-0100-00003C000000}"/>
            </a:ext>
          </a:extLst>
        </xdr:cNvPr>
        <xdr:cNvSpPr txBox="1"/>
      </xdr:nvSpPr>
      <xdr:spPr>
        <a:xfrm>
          <a:off x="11332674" y="1581147"/>
          <a:ext cx="966787"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2565784-3580-4A4F-ACEE-CDAF4DAB40D9}" type="TxLink">
            <a:rPr lang="en-US" sz="1600" b="1" i="0" u="none" strike="noStrike">
              <a:solidFill>
                <a:srgbClr val="000000"/>
              </a:solidFill>
              <a:latin typeface="Calibri"/>
              <a:ea typeface="Calibri"/>
              <a:cs typeface="Calibri"/>
            </a:rPr>
            <a:pPr marL="0" indent="0" algn="ctr"/>
            <a:t>25.06%</a:t>
          </a:fld>
          <a:endParaRPr lang="en-US" sz="1600" b="1" i="0" u="none" strike="noStrike">
            <a:solidFill>
              <a:srgbClr val="000000"/>
            </a:solidFill>
            <a:latin typeface="Calibri"/>
            <a:ea typeface="Calibri"/>
            <a:cs typeface="Calibri"/>
          </a:endParaRPr>
        </a:p>
      </xdr:txBody>
    </xdr:sp>
    <xdr:clientData/>
  </xdr:twoCellAnchor>
  <xdr:twoCellAnchor>
    <xdr:from>
      <xdr:col>6</xdr:col>
      <xdr:colOff>204463</xdr:colOff>
      <xdr:row>8</xdr:row>
      <xdr:rowOff>57147</xdr:rowOff>
    </xdr:from>
    <xdr:to>
      <xdr:col>7</xdr:col>
      <xdr:colOff>80638</xdr:colOff>
      <xdr:row>9</xdr:row>
      <xdr:rowOff>171447</xdr:rowOff>
    </xdr:to>
    <xdr:sp macro="" textlink="'Firm size analysis'!E4">
      <xdr:nvSpPr>
        <xdr:cNvPr id="62" name="TextBox 61">
          <a:extLst>
            <a:ext uri="{FF2B5EF4-FFF2-40B4-BE49-F238E27FC236}">
              <a16:creationId xmlns:a16="http://schemas.microsoft.com/office/drawing/2014/main" id="{00000000-0008-0000-0100-00003E000000}"/>
            </a:ext>
          </a:extLst>
        </xdr:cNvPr>
        <xdr:cNvSpPr txBox="1"/>
      </xdr:nvSpPr>
      <xdr:spPr>
        <a:xfrm>
          <a:off x="7695551" y="1581147"/>
          <a:ext cx="966788"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FD44A8E-B248-47A8-985B-F70CAA9D2D6B}" type="TxLink">
            <a:rPr lang="en-US" sz="1600" b="1" i="0" u="none" strike="noStrike">
              <a:solidFill>
                <a:srgbClr val="000000"/>
              </a:solidFill>
              <a:latin typeface="Calibri"/>
              <a:ea typeface="Calibri"/>
              <a:cs typeface="Calibri"/>
            </a:rPr>
            <a:pPr marL="0" indent="0" algn="ctr"/>
            <a:t>1.0%</a:t>
          </a:fld>
          <a:endParaRPr lang="en-US" sz="1600" b="1" i="0" u="none" strike="noStrike">
            <a:solidFill>
              <a:srgbClr val="000000"/>
            </a:solidFill>
            <a:latin typeface="Calibri"/>
            <a:ea typeface="Calibri"/>
            <a:cs typeface="Calibri"/>
          </a:endParaRPr>
        </a:p>
      </xdr:txBody>
    </xdr:sp>
    <xdr:clientData/>
  </xdr:twoCellAnchor>
  <xdr:twoCellAnchor>
    <xdr:from>
      <xdr:col>6</xdr:col>
      <xdr:colOff>476250</xdr:colOff>
      <xdr:row>0</xdr:row>
      <xdr:rowOff>47627</xdr:rowOff>
    </xdr:from>
    <xdr:to>
      <xdr:col>10</xdr:col>
      <xdr:colOff>228600</xdr:colOff>
      <xdr:row>3</xdr:row>
      <xdr:rowOff>137583</xdr:rowOff>
    </xdr:to>
    <xdr:sp macro="" textlink="">
      <xdr:nvSpPr>
        <xdr:cNvPr id="70" name="Rectangle: Rounded Corners 69">
          <a:extLst>
            <a:ext uri="{FF2B5EF4-FFF2-40B4-BE49-F238E27FC236}">
              <a16:creationId xmlns:a16="http://schemas.microsoft.com/office/drawing/2014/main" id="{00000000-0008-0000-0100-000046000000}"/>
            </a:ext>
          </a:extLst>
        </xdr:cNvPr>
        <xdr:cNvSpPr/>
      </xdr:nvSpPr>
      <xdr:spPr>
        <a:xfrm>
          <a:off x="8267700" y="47627"/>
          <a:ext cx="4381500" cy="661456"/>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33335</xdr:colOff>
      <xdr:row>0</xdr:row>
      <xdr:rowOff>47627</xdr:rowOff>
    </xdr:from>
    <xdr:to>
      <xdr:col>2</xdr:col>
      <xdr:colOff>442912</xdr:colOff>
      <xdr:row>3</xdr:row>
      <xdr:rowOff>138527</xdr:rowOff>
    </xdr:to>
    <xdr:sp macro="" textlink="">
      <xdr:nvSpPr>
        <xdr:cNvPr id="71" name="Rectangle: Rounded Corners 70">
          <a:extLst>
            <a:ext uri="{FF2B5EF4-FFF2-40B4-BE49-F238E27FC236}">
              <a16:creationId xmlns:a16="http://schemas.microsoft.com/office/drawing/2014/main" id="{00000000-0008-0000-0100-000047000000}"/>
            </a:ext>
          </a:extLst>
        </xdr:cNvPr>
        <xdr:cNvSpPr/>
      </xdr:nvSpPr>
      <xdr:spPr>
        <a:xfrm>
          <a:off x="66670" y="47627"/>
          <a:ext cx="3257554" cy="6624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79902</xdr:colOff>
      <xdr:row>0</xdr:row>
      <xdr:rowOff>103718</xdr:rowOff>
    </xdr:from>
    <xdr:to>
      <xdr:col>2</xdr:col>
      <xdr:colOff>470958</xdr:colOff>
      <xdr:row>2</xdr:row>
      <xdr:rowOff>8467</xdr:rowOff>
    </xdr:to>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59804" y="103718"/>
          <a:ext cx="3216279"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ysClr val="windowText" lastClr="000000"/>
              </a:solidFill>
            </a:rPr>
            <a:t>FIRM</a:t>
          </a:r>
          <a:r>
            <a:rPr lang="en-US" sz="1600" b="1" baseline="0">
              <a:solidFill>
                <a:sysClr val="windowText" lastClr="000000"/>
              </a:solidFill>
            </a:rPr>
            <a:t> SIZE ANALYSIS DASHBOARD</a:t>
          </a:r>
          <a:endParaRPr lang="en-US" sz="1600" b="1">
            <a:solidFill>
              <a:sysClr val="windowText" lastClr="000000"/>
            </a:solidFill>
          </a:endParaRPr>
        </a:p>
      </xdr:txBody>
    </xdr:sp>
    <xdr:clientData/>
  </xdr:twoCellAnchor>
  <xdr:twoCellAnchor>
    <xdr:from>
      <xdr:col>0</xdr:col>
      <xdr:colOff>33336</xdr:colOff>
      <xdr:row>12</xdr:row>
      <xdr:rowOff>153455</xdr:rowOff>
    </xdr:from>
    <xdr:to>
      <xdr:col>5</xdr:col>
      <xdr:colOff>247651</xdr:colOff>
      <xdr:row>23</xdr:row>
      <xdr:rowOff>109955</xdr:rowOff>
    </xdr:to>
    <xdr:sp macro="" textlink="">
      <xdr:nvSpPr>
        <xdr:cNvPr id="64" name="Rectangle: Rounded Corners 63">
          <a:extLst>
            <a:ext uri="{FF2B5EF4-FFF2-40B4-BE49-F238E27FC236}">
              <a16:creationId xmlns:a16="http://schemas.microsoft.com/office/drawing/2014/main" id="{00000000-0008-0000-0100-000040000000}"/>
            </a:ext>
          </a:extLst>
        </xdr:cNvPr>
        <xdr:cNvSpPr/>
      </xdr:nvSpPr>
      <xdr:spPr>
        <a:xfrm>
          <a:off x="66672" y="2439455"/>
          <a:ext cx="6514047" cy="20520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xdr:twoCellAnchor>
    <xdr:from>
      <xdr:col>0</xdr:col>
      <xdr:colOff>71437</xdr:colOff>
      <xdr:row>13</xdr:row>
      <xdr:rowOff>29630</xdr:rowOff>
    </xdr:from>
    <xdr:to>
      <xdr:col>1</xdr:col>
      <xdr:colOff>61912</xdr:colOff>
      <xdr:row>14</xdr:row>
      <xdr:rowOff>105830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42874" y="2506130"/>
          <a:ext cx="1198033"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Firms By Size</a:t>
          </a:r>
        </a:p>
      </xdr:txBody>
    </xdr:sp>
    <xdr:clientData/>
  </xdr:twoCellAnchor>
  <mc:AlternateContent xmlns:mc="http://schemas.openxmlformats.org/markup-compatibility/2006">
    <mc:Choice xmlns:a14="http://schemas.microsoft.com/office/drawing/2010/main" Requires="a14">
      <xdr:twoCellAnchor editAs="oneCell">
        <xdr:from>
          <xdr:col>1</xdr:col>
          <xdr:colOff>161925</xdr:colOff>
          <xdr:row>13</xdr:row>
          <xdr:rowOff>66675</xdr:rowOff>
        </xdr:from>
        <xdr:to>
          <xdr:col>1</xdr:col>
          <xdr:colOff>542925</xdr:colOff>
          <xdr:row>14</xdr:row>
          <xdr:rowOff>133350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 Firms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600075</xdr:colOff>
          <xdr:row>13</xdr:row>
          <xdr:rowOff>66675</xdr:rowOff>
        </xdr:from>
        <xdr:to>
          <xdr:col>3</xdr:col>
          <xdr:colOff>9525</xdr:colOff>
          <xdr:row>14</xdr:row>
          <xdr:rowOff>133350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 Establishments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xdr:colOff>
          <xdr:row>13</xdr:row>
          <xdr:rowOff>66675</xdr:rowOff>
        </xdr:from>
        <xdr:to>
          <xdr:col>3</xdr:col>
          <xdr:colOff>542925</xdr:colOff>
          <xdr:row>14</xdr:row>
          <xdr:rowOff>133350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 Employment</a:t>
              </a:r>
            </a:p>
          </xdr:txBody>
        </xdr:sp>
        <xdr:clientData/>
      </xdr:twoCellAnchor>
    </mc:Choice>
    <mc:Fallback/>
  </mc:AlternateContent>
  <xdr:twoCellAnchor>
    <xdr:from>
      <xdr:col>0</xdr:col>
      <xdr:colOff>61907</xdr:colOff>
      <xdr:row>14</xdr:row>
      <xdr:rowOff>162980</xdr:rowOff>
    </xdr:from>
    <xdr:to>
      <xdr:col>5</xdr:col>
      <xdr:colOff>242887</xdr:colOff>
      <xdr:row>23</xdr:row>
      <xdr:rowOff>74080</xdr:rowOff>
    </xdr:to>
    <xdr:graphicFrame macro="">
      <xdr:nvGraphicFramePr>
        <xdr:cNvPr id="66" name="Chart 65">
          <a:extLst>
            <a:ext uri="{FF2B5EF4-FFF2-40B4-BE49-F238E27FC236}">
              <a16:creationId xmlns:a16="http://schemas.microsoft.com/office/drawing/2014/main" id="{00000000-0008-0000-01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366712</xdr:colOff>
      <xdr:row>14</xdr:row>
      <xdr:rowOff>124880</xdr:rowOff>
    </xdr:from>
    <xdr:to>
      <xdr:col>10</xdr:col>
      <xdr:colOff>209550</xdr:colOff>
      <xdr:row>23</xdr:row>
      <xdr:rowOff>105830</xdr:rowOff>
    </xdr:to>
    <xdr:graphicFrame macro="">
      <xdr:nvGraphicFramePr>
        <xdr:cNvPr id="41" name="Chart 40">
          <a:extLst>
            <a:ext uri="{FF2B5EF4-FFF2-40B4-BE49-F238E27FC236}">
              <a16:creationId xmlns:a16="http://schemas.microsoft.com/office/drawing/2014/main" id="{00000000-0008-0000-01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395286</xdr:colOff>
      <xdr:row>13</xdr:row>
      <xdr:rowOff>48680</xdr:rowOff>
    </xdr:from>
    <xdr:to>
      <xdr:col>10</xdr:col>
      <xdr:colOff>214312</xdr:colOff>
      <xdr:row>14</xdr:row>
      <xdr:rowOff>124880</xdr:rowOff>
    </xdr:to>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6875989" y="2525180"/>
          <a:ext cx="572346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Average</a:t>
          </a:r>
          <a:r>
            <a:rPr lang="en-US" sz="1400" b="1" baseline="0"/>
            <a:t> Establishment Entry Vs Exit Rate</a:t>
          </a:r>
          <a:endParaRPr lang="en-US" sz="1400" b="1"/>
        </a:p>
      </xdr:txBody>
    </xdr:sp>
    <xdr:clientData/>
  </xdr:twoCellAnchor>
  <xdr:twoCellAnchor>
    <xdr:from>
      <xdr:col>0</xdr:col>
      <xdr:colOff>33336</xdr:colOff>
      <xdr:row>23</xdr:row>
      <xdr:rowOff>177206</xdr:rowOff>
    </xdr:from>
    <xdr:to>
      <xdr:col>5</xdr:col>
      <xdr:colOff>232587</xdr:colOff>
      <xdr:row>38</xdr:row>
      <xdr:rowOff>11906</xdr:rowOff>
    </xdr:to>
    <xdr:sp macro="" textlink="">
      <xdr:nvSpPr>
        <xdr:cNvPr id="53" name="Rectangle: Rounded Corners 52">
          <a:extLst>
            <a:ext uri="{FF2B5EF4-FFF2-40B4-BE49-F238E27FC236}">
              <a16:creationId xmlns:a16="http://schemas.microsoft.com/office/drawing/2014/main" id="{00000000-0008-0000-0100-000035000000}"/>
            </a:ext>
          </a:extLst>
        </xdr:cNvPr>
        <xdr:cNvSpPr/>
      </xdr:nvSpPr>
      <xdr:spPr>
        <a:xfrm>
          <a:off x="66672" y="4558706"/>
          <a:ext cx="6470690" cy="2692200"/>
        </a:xfrm>
        <a:prstGeom prst="roundRect">
          <a:avLst>
            <a:gd name="adj" fmla="val 6108"/>
          </a:avLst>
        </a:prstGeom>
        <a:solidFill>
          <a:srgbClr val="1E5949">
            <a:alpha val="10000"/>
          </a:srgb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15C05"/>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523875</xdr:colOff>
          <xdr:row>24</xdr:row>
          <xdr:rowOff>28575</xdr:rowOff>
        </xdr:from>
        <xdr:to>
          <xdr:col>3</xdr:col>
          <xdr:colOff>457200</xdr:colOff>
          <xdr:row>26</xdr:row>
          <xdr:rowOff>114300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Job Creation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24</xdr:row>
          <xdr:rowOff>28575</xdr:rowOff>
        </xdr:from>
        <xdr:to>
          <xdr:col>4</xdr:col>
          <xdr:colOff>457200</xdr:colOff>
          <xdr:row>26</xdr:row>
          <xdr:rowOff>76200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Job Destruction</a:t>
              </a:r>
            </a:p>
          </xdr:txBody>
        </xdr:sp>
        <xdr:clientData/>
      </xdr:twoCellAnchor>
    </mc:Choice>
    <mc:Fallback/>
  </mc:AlternateContent>
  <xdr:twoCellAnchor>
    <xdr:from>
      <xdr:col>0</xdr:col>
      <xdr:colOff>71991</xdr:colOff>
      <xdr:row>26</xdr:row>
      <xdr:rowOff>22147</xdr:rowOff>
    </xdr:from>
    <xdr:to>
      <xdr:col>5</xdr:col>
      <xdr:colOff>127369</xdr:colOff>
      <xdr:row>37</xdr:row>
      <xdr:rowOff>166687</xdr:rowOff>
    </xdr:to>
    <xdr:graphicFrame macro="">
      <xdr:nvGraphicFramePr>
        <xdr:cNvPr id="59" name="Chart 58">
          <a:extLst>
            <a:ext uri="{FF2B5EF4-FFF2-40B4-BE49-F238E27FC236}">
              <a16:creationId xmlns:a16="http://schemas.microsoft.com/office/drawing/2014/main" id="{00000000-0008-0000-01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24</xdr:row>
      <xdr:rowOff>30567</xdr:rowOff>
    </xdr:from>
    <xdr:to>
      <xdr:col>2</xdr:col>
      <xdr:colOff>256623</xdr:colOff>
      <xdr:row>25</xdr:row>
      <xdr:rowOff>184739</xdr:rowOff>
    </xdr:to>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0" y="4602567"/>
          <a:ext cx="2962532" cy="344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Job</a:t>
          </a:r>
          <a:r>
            <a:rPr lang="en-US" sz="1400" b="1" baseline="0"/>
            <a:t> Creation and Destruction</a:t>
          </a:r>
          <a:endParaRPr lang="en-US" sz="1400" b="1"/>
        </a:p>
      </xdr:txBody>
    </xdr:sp>
    <xdr:clientData/>
  </xdr:twoCellAnchor>
  <xdr:twoCellAnchor>
    <xdr:from>
      <xdr:col>5</xdr:col>
      <xdr:colOff>326729</xdr:colOff>
      <xdr:row>25</xdr:row>
      <xdr:rowOff>107156</xdr:rowOff>
    </xdr:from>
    <xdr:to>
      <xdr:col>10</xdr:col>
      <xdr:colOff>182747</xdr:colOff>
      <xdr:row>37</xdr:row>
      <xdr:rowOff>140438</xdr:rowOff>
    </xdr:to>
    <xdr:graphicFrame macro="">
      <xdr:nvGraphicFramePr>
        <xdr:cNvPr id="63" name="Chart 62">
          <a:extLst>
            <a:ext uri="{FF2B5EF4-FFF2-40B4-BE49-F238E27FC236}">
              <a16:creationId xmlns:a16="http://schemas.microsoft.com/office/drawing/2014/main" id="{00000000-0008-0000-01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37435</xdr:colOff>
      <xdr:row>24</xdr:row>
      <xdr:rowOff>50059</xdr:rowOff>
    </xdr:from>
    <xdr:to>
      <xdr:col>8</xdr:col>
      <xdr:colOff>294058</xdr:colOff>
      <xdr:row>26</xdr:row>
      <xdr:rowOff>15946</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7422727" y="4622059"/>
          <a:ext cx="2962532" cy="346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Firm Death Rate</a:t>
          </a:r>
        </a:p>
      </xdr:txBody>
    </xdr:sp>
    <xdr:clientData/>
  </xdr:twoCellAnchor>
  <xdr:twoCellAnchor editAs="oneCell">
    <xdr:from>
      <xdr:col>7</xdr:col>
      <xdr:colOff>179916</xdr:colOff>
      <xdr:row>0</xdr:row>
      <xdr:rowOff>105832</xdr:rowOff>
    </xdr:from>
    <xdr:to>
      <xdr:col>10</xdr:col>
      <xdr:colOff>183091</xdr:colOff>
      <xdr:row>3</xdr:row>
      <xdr:rowOff>40821</xdr:rowOff>
    </xdr:to>
    <mc:AlternateContent xmlns:mc="http://schemas.openxmlformats.org/markup-compatibility/2006" xmlns:a14="http://schemas.microsoft.com/office/drawing/2010/main">
      <mc:Choice Requires="a14">
        <xdr:graphicFrame macro="">
          <xdr:nvGraphicFramePr>
            <xdr:cNvPr id="74" name="year">
              <a:extLst>
                <a:ext uri="{FF2B5EF4-FFF2-40B4-BE49-F238E27FC236}">
                  <a16:creationId xmlns:a16="http://schemas.microsoft.com/office/drawing/2014/main" id="{00000000-0008-0000-0100-00004A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32332" y="105832"/>
              <a:ext cx="3680279" cy="560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486833</xdr:colOff>
      <xdr:row>1</xdr:row>
      <xdr:rowOff>35983</xdr:rowOff>
    </xdr:from>
    <xdr:to>
      <xdr:col>7</xdr:col>
      <xdr:colOff>174625</xdr:colOff>
      <xdr:row>2</xdr:row>
      <xdr:rowOff>169333</xdr:rowOff>
    </xdr:to>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8276167" y="226483"/>
          <a:ext cx="59266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t>Years</a:t>
          </a:r>
        </a:p>
        <a:p>
          <a:pPr algn="ctr"/>
          <a:endParaRPr lang="en-US" sz="1100" b="1" baseline="0"/>
        </a:p>
        <a:p>
          <a:endParaRPr lang="en-US" sz="1100"/>
        </a:p>
      </xdr:txBody>
    </xdr:sp>
    <xdr:clientData/>
  </xdr:twoCellAnchor>
  <xdr:twoCellAnchor editAs="oneCell">
    <xdr:from>
      <xdr:col>3</xdr:col>
      <xdr:colOff>269872</xdr:colOff>
      <xdr:row>0</xdr:row>
      <xdr:rowOff>114298</xdr:rowOff>
    </xdr:from>
    <xdr:to>
      <xdr:col>6</xdr:col>
      <xdr:colOff>338665</xdr:colOff>
      <xdr:row>3</xdr:row>
      <xdr:rowOff>54429</xdr:rowOff>
    </xdr:to>
    <mc:AlternateContent xmlns:mc="http://schemas.openxmlformats.org/markup-compatibility/2006" xmlns:a14="http://schemas.microsoft.com/office/drawing/2010/main">
      <mc:Choice Requires="a14">
        <xdr:graphicFrame macro="">
          <xdr:nvGraphicFramePr>
            <xdr:cNvPr id="76" name="FirmSize">
              <a:extLst>
                <a:ext uri="{FF2B5EF4-FFF2-40B4-BE49-F238E27FC236}">
                  <a16:creationId xmlns:a16="http://schemas.microsoft.com/office/drawing/2014/main" id="{00000000-0008-0000-0100-00004C000000}"/>
                </a:ext>
              </a:extLst>
            </xdr:cNvPr>
            <xdr:cNvGraphicFramePr/>
          </xdr:nvGraphicFramePr>
          <xdr:xfrm>
            <a:off x="0" y="0"/>
            <a:ext cx="0" cy="0"/>
          </xdr:xfrm>
          <a:graphic>
            <a:graphicData uri="http://schemas.microsoft.com/office/drawing/2010/slicer">
              <sle:slicer xmlns:sle="http://schemas.microsoft.com/office/drawing/2010/slicer" name="FirmSize"/>
            </a:graphicData>
          </a:graphic>
        </xdr:graphicFrame>
      </mc:Choice>
      <mc:Fallback xmlns="">
        <xdr:sp macro="" textlink="">
          <xdr:nvSpPr>
            <xdr:cNvPr id="0" name=""/>
            <xdr:cNvSpPr>
              <a:spLocks noTextEdit="1"/>
            </xdr:cNvSpPr>
          </xdr:nvSpPr>
          <xdr:spPr>
            <a:xfrm>
              <a:off x="4213673" y="114299"/>
              <a:ext cx="3811514" cy="51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2152776" backgroundQuery="1" createdVersion="8" refreshedVersion="8" minRefreshableVersion="3" recordCount="0" supportSubquery="1" supportAdvancedDrill="1" xr:uid="{569B64E1-D869-4C4C-A2A0-AB3FB2DC56D9}">
  <cacheSource type="external" connectionId="3"/>
  <cacheFields count="8">
    <cacheField name="[Measures].[Total Firms]" caption="Total Firms" numFmtId="0" hierarchy="44" level="32767"/>
    <cacheField name="[Measures].[Average Entry Rate]" caption="Average Entry Rate" numFmtId="0" hierarchy="46" level="32767"/>
    <cacheField name="[Measures].[Total Employment]" caption="Total Employment" numFmtId="0" hierarchy="45" level="32767"/>
    <cacheField name="[Measures].[Average Exit Rate]" caption="Average Exit Rate" numFmtId="0" hierarchy="47" level="32767"/>
    <cacheField name="[Measures].[Average Reallocation Rate]" caption="Average Reallocation Rate" numFmtId="0" hierarchy="49" level="32767"/>
    <cacheField name="[Measures].[Average Survival Rate]" caption="Average Survival Rate" numFmtId="0" hierarchy="50" level="32767"/>
    <cacheField name="[FirmSize].[year].[year]" caption="year" numFmtId="0" hierarchy="1" level="1">
      <sharedItems containsSemiMixedTypes="0" containsNonDate="0" containsString="0"/>
    </cacheField>
    <cacheField name="[Measures].[Average Net Job Creation Rate]" caption="Average Net Job Creation Rate" numFmtId="0" hierarchy="48" level="32767"/>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6"/>
      </fieldsUsage>
    </cacheHierarchy>
    <cacheHierarchy uniqueName="[FirmSize].[FirmSize]" caption="FirmSize" attribute="1" defaultMemberUniqueName="[FirmSize].[FirmSize].[All]" allUniqueName="[FirmSize].[FirmSize].[All]" dimensionUniqueName="[FirmSize]" displayFolder="" count="2" memberValueDatatype="130" unbalanced="0"/>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oneField="1">
      <fieldsUsage count="1">
        <fieldUsage x="0"/>
      </fieldsUsage>
    </cacheHierarchy>
    <cacheHierarchy uniqueName="[Measures].[Total Employment]" caption="Total Employment" measure="1" displayFolder="" measureGroup="All Measures" count="0" oneField="1">
      <fieldsUsage count="1">
        <fieldUsage x="2"/>
      </fieldsUsage>
    </cacheHierarchy>
    <cacheHierarchy uniqueName="[Measures].[Average Entry Rate]" caption="Average Entry Rate" measure="1" displayFolder="" measureGroup="All Measures" count="0" oneField="1">
      <fieldsUsage count="1">
        <fieldUsage x="1"/>
      </fieldsUsage>
    </cacheHierarchy>
    <cacheHierarchy uniqueName="[Measures].[Average Exit Rate]" caption="Average Exit Rate" measure="1" displayFolder="" measureGroup="All Measures" count="0" oneField="1">
      <fieldsUsage count="1">
        <fieldUsage x="3"/>
      </fieldsUsage>
    </cacheHierarchy>
    <cacheHierarchy uniqueName="[Measures].[Average Net Job Creation Rate]" caption="Average Net Job Creation Rate" measure="1" displayFolder="" measureGroup="All Measures" count="0" oneField="1">
      <fieldsUsage count="1">
        <fieldUsage x="7"/>
      </fieldsUsage>
    </cacheHierarchy>
    <cacheHierarchy uniqueName="[Measures].[Average Reallocation Rate]" caption="Average Reallocation Rate" measure="1" displayFolder="" measureGroup="All Measures" count="0" oneField="1">
      <fieldsUsage count="1">
        <fieldUsage x="4"/>
      </fieldsUsage>
    </cacheHierarchy>
    <cacheHierarchy uniqueName="[Measures].[Average Survival Rate]" caption="Average Survival Rate" measure="1" displayFolder="" measureGroup="All Measures" count="0" oneField="1">
      <fieldsUsage count="1">
        <fieldUsage x="5"/>
      </fieldsUsage>
    </cacheHierarchy>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2731484" backgroundQuery="1" createdVersion="8" refreshedVersion="8" minRefreshableVersion="3" recordCount="0" supportSubquery="1" supportAdvancedDrill="1" xr:uid="{F9FF4B1A-F518-428D-A220-49756A497149}">
  <cacheSource type="external" connectionId="3"/>
  <cacheFields count="5">
    <cacheField name="[FirmSize].[FirmSize].[FirmSize]" caption="FirmSize" numFmtId="0" hierarchy="2" level="1">
      <sharedItems count="10">
        <s v="1 to 4"/>
        <s v="5 to 9"/>
        <s v="10 to 19"/>
        <s v="20 to 99"/>
        <s v="100 to 499"/>
        <s v="500 to 999"/>
        <s v="1000 to 2499"/>
        <s v="2500 to 4999"/>
        <s v="5000 to 9999"/>
        <s v="10000+"/>
      </sharedItems>
    </cacheField>
    <cacheField name="[Measures].[Sum of firms]" caption="Sum of firms" numFmtId="0" hierarchy="30" level="32767"/>
    <cacheField name="[Measures].[Sum of estabs]" caption="Sum of estabs" numFmtId="0" hierarchy="36" level="32767"/>
    <cacheField name="[Measures].[Sum of emp]" caption="Sum of emp" numFmtId="0" hierarchy="31" level="32767"/>
    <cacheField name="[FirmSize].[year].[year]" caption="year" numFmtId="0" hierarchy="1" level="1">
      <sharedItems containsSemiMixedTypes="0" containsNonDate="0" containsString="0"/>
    </cacheField>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4"/>
      </fieldsUsage>
    </cacheHierarchy>
    <cacheHierarchy uniqueName="[FirmSize].[FirmSize]" caption="FirmSize" attribute="1" defaultMemberUniqueName="[FirmSize].[FirmSize].[All]" allUniqueName="[FirmSize].[FirmSize].[All]" dimensionUniqueName="[FirmSize]" displayFolder="" count="2" memberValueDatatype="130" unbalanced="0">
      <fieldsUsage count="2">
        <fieldUsage x="-1"/>
        <fieldUsage x="0"/>
      </fieldsUsage>
    </cacheHierarchy>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oneField="1">
      <fieldsUsage count="1">
        <fieldUsage x="1"/>
      </fieldsUsage>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oneField="1">
      <fieldsUsage count="1">
        <fieldUsage x="3"/>
      </fieldsUsage>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oneField="1">
      <fieldsUsage count="1">
        <fieldUsage x="2"/>
      </fieldsUsage>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3194446" backgroundQuery="1" createdVersion="8" refreshedVersion="8" minRefreshableVersion="3" recordCount="0" supportSubquery="1" supportAdvancedDrill="1" xr:uid="{F5C822A5-BDC5-4EFC-8C31-F3A663314305}">
  <cacheSource type="external" connectionId="3"/>
  <cacheFields count="3">
    <cacheField name="[FirmSize].[FirmSize].[FirmSize]" caption="FirmSize" numFmtId="0" hierarchy="2" level="1">
      <sharedItems count="10">
        <s v="1 to 4"/>
        <s v="5 to 9"/>
        <s v="10 to 19"/>
        <s v="20 to 99"/>
        <s v="100 to 499"/>
        <s v="500 to 999"/>
        <s v="1000 to 2499"/>
        <s v="2500 to 4999"/>
        <s v="5000 to 9999"/>
        <s v="10000+"/>
      </sharedItems>
    </cacheField>
    <cacheField name="[Measures].[Sum of firms]" caption="Sum of firms" numFmtId="0" hierarchy="30" level="32767"/>
    <cacheField name="[FirmSize].[year].[year]" caption="year" numFmtId="0" hierarchy="1" level="1">
      <sharedItems containsSemiMixedTypes="0" containsNonDate="0" containsString="0"/>
    </cacheField>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2"/>
      </fieldsUsage>
    </cacheHierarchy>
    <cacheHierarchy uniqueName="[FirmSize].[FirmSize]" caption="FirmSize" attribute="1" defaultMemberUniqueName="[FirmSize].[FirmSize].[All]" allUniqueName="[FirmSize].[FirmSize].[All]" dimensionUniqueName="[FirmSize]" displayFolder="" count="2" memberValueDatatype="130" unbalanced="0">
      <fieldsUsage count="2">
        <fieldUsage x="-1"/>
        <fieldUsage x="0"/>
      </fieldsUsage>
    </cacheHierarchy>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oneField="1">
      <fieldsUsage count="1">
        <fieldUsage x="1"/>
      </fieldsUsage>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3541669" backgroundQuery="1" createdVersion="8" refreshedVersion="8" minRefreshableVersion="3" recordCount="0" supportSubquery="1" supportAdvancedDrill="1" xr:uid="{0520F023-5DF5-476E-8ECF-0B873D3549F7}">
  <cacheSource type="external" connectionId="3"/>
  <cacheFields count="4">
    <cacheField name="[FirmSize].[FirmSize].[FirmSize]" caption="FirmSize" numFmtId="0" hierarchy="2" level="1">
      <sharedItems count="10">
        <s v="1 to 4"/>
        <s v="5 to 9"/>
        <s v="10 to 19"/>
        <s v="20 to 99"/>
        <s v="100 to 499"/>
        <s v="500 to 999"/>
        <s v="1000 to 2499"/>
        <s v="2500 to 4999"/>
        <s v="5000 to 9999"/>
        <s v="10000+"/>
      </sharedItems>
    </cacheField>
    <cacheField name="[Measures].[Average of estabs_entry_rate]" caption="Average of estabs_entry_rate" numFmtId="0" hierarchy="38" level="32767"/>
    <cacheField name="[Measures].[Average of estabs_exit_rate]" caption="Average of estabs_exit_rate" numFmtId="0" hierarchy="39" level="32767"/>
    <cacheField name="[FirmSize].[year].[year]" caption="year" numFmtId="0" hierarchy="1" level="1">
      <sharedItems containsSemiMixedTypes="0" containsNonDate="0" containsString="0"/>
    </cacheField>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3"/>
      </fieldsUsage>
    </cacheHierarchy>
    <cacheHierarchy uniqueName="[FirmSize].[FirmSize]" caption="FirmSize" attribute="1" defaultMemberUniqueName="[FirmSize].[FirmSize].[All]" allUniqueName="[FirmSize].[FirmSize].[All]" dimensionUniqueName="[FirmSize]" displayFolder="" count="2" memberValueDatatype="130" unbalanced="0">
      <fieldsUsage count="2">
        <fieldUsage x="-1"/>
        <fieldUsage x="0"/>
      </fieldsUsage>
    </cacheHierarchy>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oneField="1">
      <fieldsUsage count="1">
        <fieldUsage x="1"/>
      </fieldsUsage>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oneField="1">
      <fieldsUsage count="1">
        <fieldUsage x="2"/>
      </fieldsUsage>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3888885" backgroundQuery="1" createdVersion="8" refreshedVersion="8" minRefreshableVersion="3" recordCount="0" supportSubquery="1" supportAdvancedDrill="1" xr:uid="{AF6EE043-233B-4756-9EB9-713A7A5E2169}">
  <cacheSource type="external" connectionId="3"/>
  <cacheFields count="4">
    <cacheField name="[Measures].[Sum of job_creation]" caption="Sum of job_creation" numFmtId="0" hierarchy="40" level="32767"/>
    <cacheField name="[FirmSize].[FirmSize].[FirmSize]" caption="FirmSize" numFmtId="0" hierarchy="2" level="1">
      <sharedItems count="10">
        <s v="1 to 4"/>
        <s v="5 to 9"/>
        <s v="10 to 19"/>
        <s v="20 to 99"/>
        <s v="100 to 499"/>
        <s v="500 to 999"/>
        <s v="1000 to 2499"/>
        <s v="2500 to 4999"/>
        <s v="5000 to 9999"/>
        <s v="10000+"/>
      </sharedItems>
    </cacheField>
    <cacheField name="[Measures].[Sum of job_destruction]" caption="Sum of job_destruction" numFmtId="0" hierarchy="41" level="32767"/>
    <cacheField name="[FirmSize].[year].[year]" caption="year" numFmtId="0" hierarchy="1" level="1">
      <sharedItems containsSemiMixedTypes="0" containsNonDate="0" containsString="0"/>
    </cacheField>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3"/>
      </fieldsUsage>
    </cacheHierarchy>
    <cacheHierarchy uniqueName="[FirmSize].[FirmSize]" caption="FirmSize" attribute="1" defaultMemberUniqueName="[FirmSize].[FirmSize].[All]" allUniqueName="[FirmSize].[FirmSize].[All]" dimensionUniqueName="[FirmSize]" displayFolder="" count="2" memberValueDatatype="130" unbalanced="0">
      <fieldsUsage count="2">
        <fieldUsage x="-1"/>
        <fieldUsage x="1"/>
      </fieldsUsage>
    </cacheHierarchy>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oneField="1">
      <fieldsUsage count="1">
        <fieldUsage x="0"/>
      </fieldsUsage>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oneField="1">
      <fieldsUsage count="1">
        <fieldUsage x="2"/>
      </fieldsUsage>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4914351855" backgroundQuery="1" createdVersion="8" refreshedVersion="8" minRefreshableVersion="3" recordCount="0" supportSubquery="1" supportAdvancedDrill="1" xr:uid="{52156787-3D0A-4FCD-B656-C63EAEA3348A}">
  <cacheSource type="external" connectionId="3"/>
  <cacheFields count="3">
    <cacheField name="[FirmSize].[FirmSize].[FirmSize]" caption="FirmSize" numFmtId="0" hierarchy="2" level="1">
      <sharedItems count="10">
        <s v="1 to 4"/>
        <s v="5 to 9"/>
        <s v="10 to 19"/>
        <s v="20 to 99"/>
        <s v="100 to 499"/>
        <s v="500 to 999"/>
        <s v="1000 to 2499"/>
        <s v="2500 to 4999"/>
        <s v="5000 to 9999"/>
        <s v="10000+"/>
      </sharedItems>
    </cacheField>
    <cacheField name="[Measures].[Average of Death Rate]" caption="Average of Death Rate" numFmtId="0" hierarchy="43" level="32767"/>
    <cacheField name="[FirmSize].[year].[year]" caption="year" numFmtId="0" hierarchy="1" level="1">
      <sharedItems containsSemiMixedTypes="0" containsNonDate="0" containsString="0"/>
    </cacheField>
  </cacheFields>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fieldsUsage count="2">
        <fieldUsage x="-1"/>
        <fieldUsage x="2"/>
      </fieldsUsage>
    </cacheHierarchy>
    <cacheHierarchy uniqueName="[FirmSize].[FirmSize]" caption="FirmSize" attribute="1" defaultMemberUniqueName="[FirmSize].[FirmSize].[All]" allUniqueName="[FirmSize].[FirmSize].[All]" dimensionUniqueName="[FirmSize]" displayFolder="" count="2" memberValueDatatype="130" unbalanced="0">
      <fieldsUsage count="2">
        <fieldUsage x="-1"/>
        <fieldUsage x="0"/>
      </fieldsUsage>
    </cacheHierarchy>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oneField="1">
      <fieldsUsage count="1">
        <fieldUsage x="1"/>
      </fieldsUsage>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3">
    <dimension name="All Measures" uniqueName="[All Measures]" caption="All Measures"/>
    <dimension name="FirmSize" uniqueName="[FirmSize]" caption="FirmSize"/>
    <dimension measure="1" name="Measures" uniqueName="[Measures]" caption="Measures"/>
  </dimensions>
  <measureGroups count="2">
    <measureGroup name="All Measures" caption="All Measures"/>
    <measureGroup name="FirmSize" caption="FirmSize"/>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5.46308425926" backgroundQuery="1" createdVersion="3" refreshedVersion="8" minRefreshableVersion="3" recordCount="0" supportSubquery="1" supportAdvancedDrill="1" xr:uid="{60AADE0B-7867-4423-90EA-1FDF932A0111}">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FirmSize].[year]" caption="year" attribute="1" defaultMemberUniqueName="[FirmSize].[year].[All]" allUniqueName="[FirmSize].[year].[All]" dimensionUniqueName="[FirmSize]" displayFolder="" count="2" memberValueDatatype="20" unbalanced="0"/>
    <cacheHierarchy uniqueName="[FirmSize].[FirmSize]" caption="FirmSize" attribute="1" defaultMemberUniqueName="[FirmSize].[FirmSize].[All]" allUniqueName="[FirmSize].[FirmSize].[All]" dimensionUniqueName="[FirmSize]" displayFolder="" count="2" memberValueDatatype="130" unbalanced="0"/>
    <cacheHierarchy uniqueName="[FirmSize].[firms]" caption="firms" attribute="1" defaultMemberUniqueName="[FirmSize].[firms].[All]" allUniqueName="[FirmSize].[firms].[All]" dimensionUniqueName="[FirmSize]" displayFolder="" count="0" memberValueDatatype="20" unbalanced="0"/>
    <cacheHierarchy uniqueName="[FirmSize].[estabs]" caption="estabs" attribute="1" defaultMemberUniqueName="[FirmSize].[estabs].[All]" allUniqueName="[FirmSize].[estabs].[All]" dimensionUniqueName="[FirmSize]" displayFolder="" count="0" memberValueDatatype="20" unbalanced="0"/>
    <cacheHierarchy uniqueName="[FirmSize].[emp]" caption="emp" attribute="1" defaultMemberUniqueName="[FirmSize].[emp].[All]" allUniqueName="[FirmSize].[emp].[All]" dimensionUniqueName="[FirmSize]" displayFolder="" count="0" memberValueDatatype="20" unbalanced="0"/>
    <cacheHierarchy uniqueName="[FirmSize].[denom]" caption="denom" attribute="1" defaultMemberUniqueName="[FirmSize].[denom].[All]" allUniqueName="[FirmSize].[denom].[All]" dimensionUniqueName="[FirmSize]" displayFolder="" count="0" memberValueDatatype="20" unbalanced="0"/>
    <cacheHierarchy uniqueName="[FirmSize].[estabs_entry]" caption="estabs_entry" attribute="1" defaultMemberUniqueName="[FirmSize].[estabs_entry].[All]" allUniqueName="[FirmSize].[estabs_entry].[All]" dimensionUniqueName="[FirmSize]" displayFolder="" count="0" memberValueDatatype="20" unbalanced="0"/>
    <cacheHierarchy uniqueName="[FirmSize].[estabs_entry_rate]" caption="estabs_entry_rate" attribute="1" defaultMemberUniqueName="[FirmSize].[estabs_entry_rate].[All]" allUniqueName="[FirmSize].[estabs_entry_rate].[All]" dimensionUniqueName="[FirmSize]" displayFolder="" count="0" memberValueDatatype="5" unbalanced="0"/>
    <cacheHierarchy uniqueName="[FirmSize].[estabs_exit]" caption="estabs_exit" attribute="1" defaultMemberUniqueName="[FirmSize].[estabs_exit].[All]" allUniqueName="[FirmSize].[estabs_exit].[All]" dimensionUniqueName="[FirmSize]" displayFolder="" count="0" memberValueDatatype="20" unbalanced="0"/>
    <cacheHierarchy uniqueName="[FirmSize].[estabs_exit_rate]" caption="estabs_exit_rate" attribute="1" defaultMemberUniqueName="[FirmSize].[estabs_exit_rate].[All]" allUniqueName="[FirmSize].[estabs_exit_rate].[All]" dimensionUniqueName="[FirmSize]" displayFolder="" count="0" memberValueDatatype="5" unbalanced="0"/>
    <cacheHierarchy uniqueName="[FirmSize].[job_creation]" caption="job_creation" attribute="1" defaultMemberUniqueName="[FirmSize].[job_creation].[All]" allUniqueName="[FirmSize].[job_creation].[All]" dimensionUniqueName="[FirmSize]" displayFolder="" count="0" memberValueDatatype="20" unbalanced="0"/>
    <cacheHierarchy uniqueName="[FirmSize].[job_creation_births]" caption="job_creation_births" attribute="1" defaultMemberUniqueName="[FirmSize].[job_creation_births].[All]" allUniqueName="[FirmSize].[job_creation_births].[All]" dimensionUniqueName="[FirmSize]" displayFolder="" count="0" memberValueDatatype="20" unbalanced="0"/>
    <cacheHierarchy uniqueName="[FirmSize].[job_creation_continuers]" caption="job_creation_continuers" attribute="1" defaultMemberUniqueName="[FirmSize].[job_creation_continuers].[All]" allUniqueName="[FirmSize].[job_creation_continuers].[All]" dimensionUniqueName="[FirmSize]" displayFolder="" count="0" memberValueDatatype="20" unbalanced="0"/>
    <cacheHierarchy uniqueName="[FirmSize].[job_creation_rate_births]" caption="job_creation_rate_births" attribute="1" defaultMemberUniqueName="[FirmSize].[job_creation_rate_births].[All]" allUniqueName="[FirmSize].[job_creation_rate_births].[All]" dimensionUniqueName="[FirmSize]" displayFolder="" count="0" memberValueDatatype="5" unbalanced="0"/>
    <cacheHierarchy uniqueName="[FirmSize].[job_creation_rate]" caption="job_creation_rate" attribute="1" defaultMemberUniqueName="[FirmSize].[job_creation_rate].[All]" allUniqueName="[FirmSize].[job_creation_rate].[All]" dimensionUniqueName="[FirmSize]" displayFolder="" count="0" memberValueDatatype="5" unbalanced="0"/>
    <cacheHierarchy uniqueName="[FirmSize].[job_destruction]" caption="job_destruction" attribute="1" defaultMemberUniqueName="[FirmSize].[job_destruction].[All]" allUniqueName="[FirmSize].[job_destruction].[All]" dimensionUniqueName="[FirmSize]" displayFolder="" count="0" memberValueDatatype="20" unbalanced="0"/>
    <cacheHierarchy uniqueName="[FirmSize].[job_destruction_deaths]" caption="job_destruction_deaths" attribute="1" defaultMemberUniqueName="[FirmSize].[job_destruction_deaths].[All]" allUniqueName="[FirmSize].[job_destruction_deaths].[All]" dimensionUniqueName="[FirmSize]" displayFolder="" count="0" memberValueDatatype="20" unbalanced="0"/>
    <cacheHierarchy uniqueName="[FirmSize].[job_destruction_continuers]" caption="job_destruction_continuers" attribute="1" defaultMemberUniqueName="[FirmSize].[job_destruction_continuers].[All]" allUniqueName="[FirmSize].[job_destruction_continuers].[All]" dimensionUniqueName="[FirmSize]" displayFolder="" count="0" memberValueDatatype="20" unbalanced="0"/>
    <cacheHierarchy uniqueName="[FirmSize].[job_destruction_rate_deaths]" caption="job_destruction_rate_deaths" attribute="1" defaultMemberUniqueName="[FirmSize].[job_destruction_rate_deaths].[All]" allUniqueName="[FirmSize].[job_destruction_rate_deaths].[All]" dimensionUniqueName="[FirmSize]" displayFolder="" count="0" memberValueDatatype="5" unbalanced="0"/>
    <cacheHierarchy uniqueName="[FirmSize].[job_destruction_rate]" caption="job_destruction_rate" attribute="1" defaultMemberUniqueName="[FirmSize].[job_destruction_rate].[All]" allUniqueName="[FirmSize].[job_destruction_rate].[All]" dimensionUniqueName="[FirmSize]" displayFolder="" count="0" memberValueDatatype="5" unbalanced="0"/>
    <cacheHierarchy uniqueName="[FirmSize].[net_job_creation]" caption="net_job_creation" attribute="1" defaultMemberUniqueName="[FirmSize].[net_job_creation].[All]" allUniqueName="[FirmSize].[net_job_creation].[All]" dimensionUniqueName="[FirmSize]" displayFolder="" count="0" memberValueDatatype="20" unbalanced="0"/>
    <cacheHierarchy uniqueName="[FirmSize].[net_job_creation_rate]" caption="net_job_creation_rate" attribute="1" defaultMemberUniqueName="[FirmSize].[net_job_creation_rate].[All]" allUniqueName="[FirmSize].[net_job_creation_rate].[All]" dimensionUniqueName="[FirmSize]" displayFolder="" count="0" memberValueDatatype="5" unbalanced="0"/>
    <cacheHierarchy uniqueName="[FirmSize].[reallocation_rate]" caption="reallocation_rate" attribute="1" defaultMemberUniqueName="[FirmSize].[reallocation_rate].[All]" allUniqueName="[FirmSize].[reallocation_rate].[All]" dimensionUniqueName="[FirmSize]" displayFolder="" count="0" memberValueDatatype="5" unbalanced="0"/>
    <cacheHierarchy uniqueName="[FirmSize].[firmdeath_firms]" caption="firmdeath_firms" attribute="1" defaultMemberUniqueName="[FirmSize].[firmdeath_firms].[All]" allUniqueName="[FirmSize].[firmdeath_firms].[All]" dimensionUniqueName="[FirmSize]" displayFolder="" count="0" memberValueDatatype="20" unbalanced="0"/>
    <cacheHierarchy uniqueName="[FirmSize].[firmdeath_estabs]" caption="firmdeath_estabs" attribute="1" defaultMemberUniqueName="[FirmSize].[firmdeath_estabs].[All]" allUniqueName="[FirmSize].[firmdeath_estabs].[All]" dimensionUniqueName="[FirmSize]" displayFolder="" count="0" memberValueDatatype="20" unbalanced="0"/>
    <cacheHierarchy uniqueName="[FirmSize].[firmdeath_emp]" caption="firmdeath_emp" attribute="1" defaultMemberUniqueName="[FirmSize].[firmdeath_emp].[All]" allUniqueName="[FirmSize].[firmdeath_emp].[All]" dimensionUniqueName="[FirmSize]" displayFolder="" count="0" memberValueDatatype="20" unbalanced="0"/>
    <cacheHierarchy uniqueName="[FirmSize].[Firm Size Order Ranking]" caption="Firm Size Order Ranking" attribute="1" defaultMemberUniqueName="[FirmSize].[Firm Size Order Ranking].[All]" allUniqueName="[FirmSize].[Firm Size Order Ranking].[All]" dimensionUniqueName="[FirmSize]" displayFolder="" count="0" memberValueDatatype="20" unbalanced="0"/>
    <cacheHierarchy uniqueName="[FirmSize].[Survival Rate]" caption="Survival Rate" attribute="1" defaultMemberUniqueName="[FirmSize].[Survival Rate].[All]" allUniqueName="[FirmSize].[Survival Rate].[All]" dimensionUniqueName="[FirmSize]" displayFolder="" count="0" memberValueDatatype="5" unbalanced="0"/>
    <cacheHierarchy uniqueName="[FirmSize].[Death Rate]" caption="Death Rate" attribute="1" defaultMemberUniqueName="[FirmSize].[Death Rate].[All]" allUniqueName="[FirmSize].[Death Rate].[All]" dimensionUniqueName="[FirmSize]" displayFolder="" count="0" memberValueDatatype="5" unbalanced="0"/>
    <cacheHierarchy uniqueName="[Measures].[Sum of firms]" caption="Sum of firms" measure="1" displayFolder="" measureGroup="FirmSize" count="0">
      <extLst>
        <ext xmlns:x15="http://schemas.microsoft.com/office/spreadsheetml/2010/11/main" uri="{B97F6D7D-B522-45F9-BDA1-12C45D357490}">
          <x15:cacheHierarchy aggregatedColumn="3"/>
        </ext>
      </extLst>
    </cacheHierarchy>
    <cacheHierarchy uniqueName="[Measures].[Sum of emp]" caption="Sum of emp" measure="1" displayFolder="" measureGroup="FirmSize" count="0">
      <extLst>
        <ext xmlns:x15="http://schemas.microsoft.com/office/spreadsheetml/2010/11/main" uri="{B97F6D7D-B522-45F9-BDA1-12C45D357490}">
          <x15:cacheHierarchy aggregatedColumn="5"/>
        </ext>
      </extLst>
    </cacheHierarchy>
    <cacheHierarchy uniqueName="[Measures].[Sum of estabs_entry_rate]" caption="Sum of estabs_entry_rate" measure="1" displayFolder="" measureGroup="FirmSize" count="0">
      <extLst>
        <ext xmlns:x15="http://schemas.microsoft.com/office/spreadsheetml/2010/11/main" uri="{B97F6D7D-B522-45F9-BDA1-12C45D357490}">
          <x15:cacheHierarchy aggregatedColumn="8"/>
        </ext>
      </extLst>
    </cacheHierarchy>
    <cacheHierarchy uniqueName="[Measures].[Sum of estabs_exit_rate]" caption="Sum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net_job_creation_rate]" caption="Sum of net_job_creation_rate" measure="1" displayFolder="" measureGroup="FirmSize" count="0">
      <extLst>
        <ext xmlns:x15="http://schemas.microsoft.com/office/spreadsheetml/2010/11/main" uri="{B97F6D7D-B522-45F9-BDA1-12C45D357490}">
          <x15:cacheHierarchy aggregatedColumn="22"/>
        </ext>
      </extLst>
    </cacheHierarchy>
    <cacheHierarchy uniqueName="[Measures].[Sum of reallocation_rate]" caption="Sum of reallocation_rate" measure="1" displayFolder="" measureGroup="FirmSize" count="0">
      <extLst>
        <ext xmlns:x15="http://schemas.microsoft.com/office/spreadsheetml/2010/11/main" uri="{B97F6D7D-B522-45F9-BDA1-12C45D357490}">
          <x15:cacheHierarchy aggregatedColumn="23"/>
        </ext>
      </extLst>
    </cacheHierarchy>
    <cacheHierarchy uniqueName="[Measures].[Sum of estabs]" caption="Sum of estabs" measure="1" displayFolder="" measureGroup="FirmSize" count="0">
      <extLst>
        <ext xmlns:x15="http://schemas.microsoft.com/office/spreadsheetml/2010/11/main" uri="{B97F6D7D-B522-45F9-BDA1-12C45D357490}">
          <x15:cacheHierarchy aggregatedColumn="4"/>
        </ext>
      </extLst>
    </cacheHierarchy>
    <cacheHierarchy uniqueName="[Measures].[Distinct Count of estabs_entry_rate]" caption="Distinct Count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ntry_rate]" caption="Average of estabs_entry_rate" measure="1" displayFolder="" measureGroup="FirmSize" count="0">
      <extLst>
        <ext xmlns:x15="http://schemas.microsoft.com/office/spreadsheetml/2010/11/main" uri="{B97F6D7D-B522-45F9-BDA1-12C45D357490}">
          <x15:cacheHierarchy aggregatedColumn="8"/>
        </ext>
      </extLst>
    </cacheHierarchy>
    <cacheHierarchy uniqueName="[Measures].[Average of estabs_exit_rate]" caption="Average of estabs_exit_rate" measure="1" displayFolder="" measureGroup="FirmSize" count="0">
      <extLst>
        <ext xmlns:x15="http://schemas.microsoft.com/office/spreadsheetml/2010/11/main" uri="{B97F6D7D-B522-45F9-BDA1-12C45D357490}">
          <x15:cacheHierarchy aggregatedColumn="10"/>
        </ext>
      </extLst>
    </cacheHierarchy>
    <cacheHierarchy uniqueName="[Measures].[Sum of job_creation]" caption="Sum of job_creation" measure="1" displayFolder="" measureGroup="FirmSize" count="0">
      <extLst>
        <ext xmlns:x15="http://schemas.microsoft.com/office/spreadsheetml/2010/11/main" uri="{B97F6D7D-B522-45F9-BDA1-12C45D357490}">
          <x15:cacheHierarchy aggregatedColumn="11"/>
        </ext>
      </extLst>
    </cacheHierarchy>
    <cacheHierarchy uniqueName="[Measures].[Sum of job_destruction]" caption="Sum of job_destruction" measure="1" displayFolder="" measureGroup="FirmSize" count="0">
      <extLst>
        <ext xmlns:x15="http://schemas.microsoft.com/office/spreadsheetml/2010/11/main" uri="{B97F6D7D-B522-45F9-BDA1-12C45D357490}">
          <x15:cacheHierarchy aggregatedColumn="16"/>
        </ext>
      </extLst>
    </cacheHierarchy>
    <cacheHierarchy uniqueName="[Measures].[Sum of Death Rate]" caption="Sum of Death Rate" measure="1" displayFolder="" measureGroup="FirmSize" count="0">
      <extLst>
        <ext xmlns:x15="http://schemas.microsoft.com/office/spreadsheetml/2010/11/main" uri="{B97F6D7D-B522-45F9-BDA1-12C45D357490}">
          <x15:cacheHierarchy aggregatedColumn="29"/>
        </ext>
      </extLst>
    </cacheHierarchy>
    <cacheHierarchy uniqueName="[Measures].[Average of Death Rate]" caption="Average of Death Rate" measure="1" displayFolder="" measureGroup="FirmSize" count="0">
      <extLst>
        <ext xmlns:x15="http://schemas.microsoft.com/office/spreadsheetml/2010/11/main" uri="{B97F6D7D-B522-45F9-BDA1-12C45D357490}">
          <x15:cacheHierarchy aggregatedColumn="29"/>
        </ext>
      </extLst>
    </cacheHierarchy>
    <cacheHierarchy uniqueName="[Measures].[Total Firms]" caption="Total Firms" measure="1" displayFolder="" measureGroup="All Measures" count="0"/>
    <cacheHierarchy uniqueName="[Measures].[Total Employment]" caption="Total Employment" measure="1" displayFolder="" measureGroup="All Measures" count="0"/>
    <cacheHierarchy uniqueName="[Measures].[Average Entry Rate]" caption="Average Entry Rate" measure="1" displayFolder="" measureGroup="All Measures" count="0"/>
    <cacheHierarchy uniqueName="[Measures].[Average Exit Rate]" caption="Average Exit Rate" measure="1" displayFolder="" measureGroup="All Measures" count="0"/>
    <cacheHierarchy uniqueName="[Measures].[Average Net Job Creation Rate]" caption="Average Net Job Creation Rate" measure="1" displayFolder="" measureGroup="All Measures" count="0"/>
    <cacheHierarchy uniqueName="[Measures].[Average Reallocation Rate]" caption="Average Reallocation Rate" measure="1" displayFolder="" measureGroup="All Measures" count="0"/>
    <cacheHierarchy uniqueName="[Measures].[Average Survival Rate]" caption="Average Survival Rate" measure="1" displayFolder="" measureGroup="All Measures" count="0"/>
    <cacheHierarchy uniqueName="[Measures].[__XL_Count FirmSize]" caption="__XL_Count FirmSize" measure="1" displayFolder="" measureGroup="FirmSize"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07986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A90146-5691-4B24-A8BF-EC754BFD90F4}" name="PivotTable5" cacheId="111" applyNumberFormats="0" applyBorderFormats="0" applyFontFormats="0" applyPatternFormats="0" applyAlignmentFormats="0" applyWidthHeightFormats="1" dataCaption="Values" tag="c8c478af-1976-4507-878d-875daa15a522" updatedVersion="8" minRefreshableVersion="3" useAutoFormatting="1" subtotalHiddenItems="1" itemPrintTitles="1" createdVersion="8" indent="0" outline="1" outlineData="1" multipleFieldFilters="0">
  <location ref="A3:G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7">
    <i>
      <x/>
    </i>
    <i i="1">
      <x v="1"/>
    </i>
    <i i="2">
      <x v="2"/>
    </i>
    <i i="3">
      <x v="3"/>
    </i>
    <i i="4">
      <x v="4"/>
    </i>
    <i i="5">
      <x v="5"/>
    </i>
    <i i="6">
      <x v="6"/>
    </i>
  </colItems>
  <dataFields count="7">
    <dataField fld="0" subtotal="count" baseField="0" baseItem="0" numFmtId="166"/>
    <dataField fld="2" subtotal="count" baseField="0" baseItem="0" numFmtId="166"/>
    <dataField fld="1" subtotal="count" baseField="0" baseItem="0" numFmtId="164"/>
    <dataField fld="3" subtotal="count" baseField="0" baseItem="0" numFmtId="164"/>
    <dataField fld="7" subtotal="count" baseField="0" baseItem="0" numFmtId="164"/>
    <dataField fld="5" subtotal="count" baseField="0" baseItem="0" numFmtId="164"/>
    <dataField fld="4" subtotal="count" baseField="0" baseItem="0" numFmtId="10"/>
  </dataFields>
  <formats count="7">
    <format dxfId="6">
      <pivotArea outline="0" collapsedLevelsAreSubtotals="1" fieldPosition="0">
        <references count="1">
          <reference field="4294967294" count="1" selected="0">
            <x v="2"/>
          </reference>
        </references>
      </pivotArea>
    </format>
    <format dxfId="5">
      <pivotArea outline="0" fieldPosition="0">
        <references count="1">
          <reference field="4294967294" count="1">
            <x v="6"/>
          </reference>
        </references>
      </pivotArea>
    </format>
    <format dxfId="4">
      <pivotArea outline="0" fieldPosition="0">
        <references count="1">
          <reference field="4294967294" count="1">
            <x v="3"/>
          </reference>
        </references>
      </pivotArea>
    </format>
    <format dxfId="3">
      <pivotArea outline="0" fieldPosition="0">
        <references count="1">
          <reference field="4294967294" count="1">
            <x v="5"/>
          </reference>
        </references>
      </pivotArea>
    </format>
    <format dxfId="2">
      <pivotArea outline="0" fieldPosition="0">
        <references count="1">
          <reference field="4294967294" count="1">
            <x v="0"/>
          </reference>
        </references>
      </pivotArea>
    </format>
    <format dxfId="1">
      <pivotArea outline="0" fieldPosition="0">
        <references count="1">
          <reference field="4294967294" count="1">
            <x v="1"/>
          </reference>
        </references>
      </pivotArea>
    </format>
    <format dxfId="0">
      <pivotArea outline="0" fieldPosition="0">
        <references count="1">
          <reference field="4294967294" count="1">
            <x v="4"/>
          </reference>
        </references>
      </pivotArea>
    </format>
  </formats>
  <pivotHierarchies count="54">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 Measure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F5FFB0-FDBE-4938-ACD8-33C1DB26E508}" name="PivotTable14" cacheId="114" applyNumberFormats="0" applyBorderFormats="0" applyFontFormats="0" applyPatternFormats="0" applyAlignmentFormats="0" applyWidthHeightFormats="1" dataCaption="Values" tag="ef53837f-ceb6-40f9-9f46-b786e52191d4" updatedVersion="8" minRefreshableVersion="3" useAutoFormatting="1" rowGrandTotals="0" colGrandTotals="0" itemPrintTitles="1" createdVersion="8" indent="0" compact="0" compactData="0" multipleFieldFilters="0">
  <location ref="A21:D31" firstHeaderRow="0" firstDataRow="1" firstDataCol="1"/>
  <pivotFields count="5">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Sum of firms" fld="1" baseField="0" baseItem="0" numFmtId="166"/>
    <dataField name="Sum of estabs" fld="2" baseField="0" baseItem="0" numFmtId="166"/>
    <dataField name="Sum of emp" fld="3" baseField="0" baseItem="0" numFmtId="166"/>
  </dataField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1C3076-CFBD-4ED1-AE22-AD277298CB50}" name="PivotTable9" cacheId="117" applyNumberFormats="0" applyBorderFormats="0" applyFontFormats="0" applyPatternFormats="0" applyAlignmentFormats="0" applyWidthHeightFormats="1" dataCaption="Values" tag="57c1e09a-f02f-4657-833a-05552c0f42e5" updatedVersion="8" minRefreshableVersion="3" useAutoFormatting="1" subtotalHiddenItems="1" rowGrandTotals="0" colGrandTotals="0" itemPrintTitles="1" createdVersion="8" indent="0" compact="0" compactData="0" multipleFieldFilters="0" chartFormat="26">
  <location ref="A8:B18" firstHeaderRow="1" firstDataRow="1" firstDataCol="1"/>
  <pivotFields count="3">
    <pivotField axis="axisRow" compact="0" allDrilled="1" outline="0" subtotalTop="0" showAll="0" dataSourceSort="1" defaultSubtotal="0">
      <items count="10">
        <item x="0" e="0"/>
        <item x="1" e="0"/>
        <item x="2" e="0"/>
        <item x="3" e="0"/>
        <item x="4" e="0"/>
        <item x="5" e="0"/>
        <item x="6" e="0"/>
        <item x="7" e="0"/>
        <item x="8" e="0"/>
        <item x="9" e="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Sum of firms" fld="1" baseField="0" baseItem="0" numFmtId="166"/>
  </dataFields>
  <chartFormats count="1">
    <chartFormat chart="17" format="3"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D5FEC2-7036-4E42-8994-3B3B854A03CB}" name="PivotTable3" cacheId="126" applyNumberFormats="0" applyBorderFormats="0" applyFontFormats="0" applyPatternFormats="0" applyAlignmentFormats="0" applyWidthHeightFormats="1" dataCaption="Values" tag="66e305e0-0aaa-4e3a-9a82-e2f8daa832d0" updatedVersion="8" minRefreshableVersion="3" useAutoFormatting="1" subtotalHiddenItems="1" rowGrandTotals="0" colGrandTotals="0" itemPrintTitles="1" createdVersion="8" indent="0" compact="0" compactData="0" multipleFieldFilters="0" chartFormat="9">
  <location ref="A90:B100" firstHeaderRow="1" firstDataRow="1" firstDataCol="1"/>
  <pivotFields count="3">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name="Average of Death Rate" fld="1" subtotal="average" baseField="0" baseItem="0" numFmtId="10"/>
  </dataFields>
  <chartFormats count="1">
    <chartFormat chart="6" format="2" series="1">
      <pivotArea type="data" outline="0" fieldPosition="0">
        <references count="1">
          <reference field="4294967294" count="1" selected="0">
            <x v="0"/>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19DAE8-49CB-44D2-B9A6-FCB8F84F104B}" name="PivotTable2" cacheId="123" applyNumberFormats="0" applyBorderFormats="0" applyFontFormats="0" applyPatternFormats="0" applyAlignmentFormats="0" applyWidthHeightFormats="1" dataCaption="Values" tag="84004f96-8e61-4bfe-b278-2a6418dbf121" updatedVersion="8" minRefreshableVersion="3" useAutoFormatting="1" rowGrandTotals="0" colGrandTotals="0" itemPrintTitles="1" createdVersion="8" indent="0" compact="0" compactData="0" multipleFieldFilters="0" chartFormat="15">
  <location ref="A61:C71"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10">
    <i>
      <x/>
    </i>
    <i>
      <x v="1"/>
    </i>
    <i>
      <x v="2"/>
    </i>
    <i>
      <x v="3"/>
    </i>
    <i>
      <x v="4"/>
    </i>
    <i>
      <x v="5"/>
    </i>
    <i>
      <x v="6"/>
    </i>
    <i>
      <x v="7"/>
    </i>
    <i>
      <x v="8"/>
    </i>
    <i>
      <x v="9"/>
    </i>
  </rowItems>
  <colFields count="1">
    <field x="-2"/>
  </colFields>
  <colItems count="2">
    <i>
      <x/>
    </i>
    <i i="1">
      <x v="1"/>
    </i>
  </colItems>
  <dataFields count="2">
    <dataField name="Sum of job_creation" fld="0" baseField="0" baseItem="0" numFmtId="166"/>
    <dataField name="Sum of job_destruction" fld="2" baseField="0" baseItem="0" numFmtId="166"/>
  </dataField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276545-3354-463D-8216-639F5FE47A5C}" name="PivotTable1" cacheId="120" applyNumberFormats="0" applyBorderFormats="0" applyFontFormats="0" applyPatternFormats="0" applyAlignmentFormats="0" applyWidthHeightFormats="1" dataCaption="Values" tag="9a10a4a1-0590-4381-8185-efbf2ff33ce6" updatedVersion="8" minRefreshableVersion="3" useAutoFormatting="1" rowGrandTotals="0" colGrandTotals="0" itemPrintTitles="1" createdVersion="8" indent="0" compact="0" compactData="0" multipleFieldFilters="0" chartFormat="16">
  <location ref="A49:C59" firstHeaderRow="0" firstDataRow="1" firstDataCol="1"/>
  <pivotFields count="4">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name="Average of estabs_entry_rate" fld="1" subtotal="average" baseField="0" baseItem="0" numFmtId="164"/>
    <dataField name="Average of estabs_exit_rate" fld="2" subtotal="average" baseField="0" baseItem="0" numFmtId="164"/>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5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rmSiz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AAD0CD-76DF-43AF-B060-9072679FB65D}" sourceName="[FirmSize].[year]">
  <pivotTables>
    <pivotTable tabId="2" name="PivotTable5"/>
    <pivotTable tabId="2" name="PivotTable14"/>
    <pivotTable tabId="2" name="PivotTable9"/>
    <pivotTable tabId="2" name="PivotTable1"/>
    <pivotTable tabId="2" name="PivotTable2"/>
    <pivotTable tabId="2" name="PivotTable3"/>
  </pivotTables>
  <data>
    <olap pivotCacheId="90798600">
      <levels count="2">
        <level uniqueName="[FirmSize].[year].[(All)]" sourceCaption="(All)" count="0"/>
        <level uniqueName="[FirmSize].[year].[year]" sourceCaption="year" count="16">
          <ranges>
            <range startItem="0">
              <i n="[FirmSize].[year].&amp;[2008]" c="2008"/>
              <i n="[FirmSize].[year].&amp;[2009]" c="2009"/>
              <i n="[FirmSize].[year].&amp;[2010]" c="2010"/>
              <i n="[FirmSize].[year].&amp;[2011]" c="2011"/>
              <i n="[FirmSize].[year].&amp;[2012]" c="2012"/>
              <i n="[FirmSize].[year].&amp;[2013]" c="2013"/>
              <i n="[FirmSize].[year].&amp;[2014]" c="2014"/>
              <i n="[FirmSize].[year].&amp;[2015]" c="2015"/>
              <i n="[FirmSize].[year].&amp;[2016]" c="2016"/>
              <i n="[FirmSize].[year].&amp;[2017]" c="2017"/>
              <i n="[FirmSize].[year].&amp;[2018]" c="2018"/>
              <i n="[FirmSize].[year].&amp;[2019]" c="2019"/>
              <i n="[FirmSize].[year].&amp;[2020]" c="2020"/>
              <i n="[FirmSize].[year].&amp;[2021]" c="2021"/>
              <i n="[FirmSize].[year].&amp;[2022]" c="2022"/>
              <i n="[FirmSize].[year].&amp;[2023]" c="2023"/>
            </range>
          </ranges>
        </level>
      </levels>
      <selections count="1">
        <selection n="[FirmSiz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rmSize" xr10:uid="{E4ECF72E-7C2B-4D35-B8C0-D49DEFC8288E}" sourceName="[FirmSize].[FirmSize]">
  <pivotTables>
    <pivotTable tabId="2" name="PivotTable5"/>
  </pivotTables>
  <data>
    <olap pivotCacheId="90798600">
      <levels count="2">
        <level uniqueName="[FirmSize].[FirmSize].[(All)]" sourceCaption="(All)" count="0"/>
        <level uniqueName="[FirmSize].[FirmSize].[FirmSize]" sourceCaption="FirmSize" count="10">
          <ranges>
            <range startItem="0">
              <i n="[FirmSize].[FirmSize].&amp;[1 to 4]" c="1 to 4"/>
              <i n="[FirmSize].[FirmSize].&amp;[5 to 9]" c="5 to 9"/>
              <i n="[FirmSize].[FirmSize].&amp;[10 to 19]" c="10 to 19"/>
              <i n="[FirmSize].[FirmSize].&amp;[20 to 99]" c="20 to 99"/>
              <i n="[FirmSize].[FirmSize].&amp;[100 to 499]" c="100 to 499"/>
              <i n="[FirmSize].[FirmSize].&amp;[500 to 999]" c="500 to 999"/>
              <i n="[FirmSize].[FirmSize].&amp;[1000 to 2499]" c="1000 to 2499"/>
              <i n="[FirmSize].[FirmSize].&amp;[2500 to 4999]" c="2500 to 4999"/>
              <i n="[FirmSize].[FirmSize].&amp;[5000 to 9999]" c="5000 to 9999"/>
              <i n="[FirmSize].[FirmSize].&amp;[10000+]" c="10000+"/>
            </range>
          </ranges>
        </level>
      </levels>
      <selections count="1">
        <selection n="[FirmSize].[Firm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DEFF83B-8A26-4418-A936-C90202BEFD53}" cache="Slicer_year" caption="Years" columnCount="2" showCaption="0" level="1" style="SLICER" rowHeight="360000"/>
  <slicer name="FirmSize" xr10:uid="{149A4F45-339D-4F92-B24C-59094B647FF9}" cache="Slicer_FirmSize" caption="Firm Size" startItem="8" columnCount="2" showCaption="0" level="1" style="SLICER"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DD2D-B7C7-482F-9614-85FF76A31D6C}">
  <dimension ref="R4"/>
  <sheetViews>
    <sheetView showFormulas="1" showGridLines="0" tabSelected="1" zoomScale="70" zoomScaleNormal="70" workbookViewId="0">
      <selection activeCell="K23" sqref="K23"/>
    </sheetView>
  </sheetViews>
  <sheetFormatPr defaultRowHeight="15" x14ac:dyDescent="0.25"/>
  <sheetData>
    <row r="4" spans="18:18" x14ac:dyDescent="0.25">
      <c r="R4" s="5"/>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1" r:id="rId4" name="Option Button 7">
              <controlPr defaultSize="0" autoFill="0" autoLine="0" autoPict="0">
                <anchor moveWithCells="1">
                  <from>
                    <xdr:col>1</xdr:col>
                    <xdr:colOff>161925</xdr:colOff>
                    <xdr:row>13</xdr:row>
                    <xdr:rowOff>66675</xdr:rowOff>
                  </from>
                  <to>
                    <xdr:col>1</xdr:col>
                    <xdr:colOff>542925</xdr:colOff>
                    <xdr:row>14</xdr:row>
                    <xdr:rowOff>133350</xdr:rowOff>
                  </to>
                </anchor>
              </controlPr>
            </control>
          </mc:Choice>
        </mc:AlternateContent>
        <mc:AlternateContent xmlns:mc="http://schemas.openxmlformats.org/markup-compatibility/2006">
          <mc:Choice Requires="x14">
            <control shapeId="1032" r:id="rId5" name="Option Button 8">
              <controlPr defaultSize="0" autoFill="0" autoLine="0" autoPict="0">
                <anchor moveWithCells="1">
                  <from>
                    <xdr:col>1</xdr:col>
                    <xdr:colOff>600075</xdr:colOff>
                    <xdr:row>13</xdr:row>
                    <xdr:rowOff>66675</xdr:rowOff>
                  </from>
                  <to>
                    <xdr:col>3</xdr:col>
                    <xdr:colOff>9525</xdr:colOff>
                    <xdr:row>14</xdr:row>
                    <xdr:rowOff>133350</xdr:rowOff>
                  </to>
                </anchor>
              </controlPr>
            </control>
          </mc:Choice>
        </mc:AlternateContent>
        <mc:AlternateContent xmlns:mc="http://schemas.openxmlformats.org/markup-compatibility/2006">
          <mc:Choice Requires="x14">
            <control shapeId="1033" r:id="rId6" name="Option Button 9">
              <controlPr defaultSize="0" autoFill="0" autoLine="0" autoPict="0">
                <anchor moveWithCells="1">
                  <from>
                    <xdr:col>3</xdr:col>
                    <xdr:colOff>57150</xdr:colOff>
                    <xdr:row>13</xdr:row>
                    <xdr:rowOff>66675</xdr:rowOff>
                  </from>
                  <to>
                    <xdr:col>3</xdr:col>
                    <xdr:colOff>542925</xdr:colOff>
                    <xdr:row>14</xdr:row>
                    <xdr:rowOff>133350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2</xdr:col>
                    <xdr:colOff>523875</xdr:colOff>
                    <xdr:row>24</xdr:row>
                    <xdr:rowOff>28575</xdr:rowOff>
                  </from>
                  <to>
                    <xdr:col>3</xdr:col>
                    <xdr:colOff>457200</xdr:colOff>
                    <xdr:row>26</xdr:row>
                    <xdr:rowOff>114300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3</xdr:col>
                    <xdr:colOff>571500</xdr:colOff>
                    <xdr:row>24</xdr:row>
                    <xdr:rowOff>28575</xdr:rowOff>
                  </from>
                  <to>
                    <xdr:col>4</xdr:col>
                    <xdr:colOff>457200</xdr:colOff>
                    <xdr:row>26</xdr:row>
                    <xdr:rowOff>76200</xdr:rowOff>
                  </to>
                </anchor>
              </controlPr>
            </control>
          </mc:Choice>
        </mc:AlternateContent>
      </controls>
    </mc:Choice>
  </mc:AlternateContent>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B7F12-AC2B-491D-8C40-741001337096}">
  <dimension ref="A3:G100"/>
  <sheetViews>
    <sheetView workbookViewId="0">
      <selection activeCell="A9" sqref="A9:B9"/>
      <pivotSelection pane="bottomRight" showHeader="1" extendable="1" axis="axisRow" max="10" activeRow="8" previousRow="8" click="1" r:id="rId3">
        <pivotArea dataOnly="0" outline="0" fieldPosition="0">
          <references count="1">
            <reference field="0" count="1">
              <x v="0"/>
            </reference>
          </references>
        </pivotArea>
      </pivotSelection>
    </sheetView>
  </sheetViews>
  <sheetFormatPr defaultRowHeight="15" x14ac:dyDescent="0.25"/>
  <cols>
    <col min="1" max="1" width="11.7109375" bestFit="1" customWidth="1"/>
    <col min="2" max="2" width="21" bestFit="1" customWidth="1"/>
    <col min="3" max="3" width="22" bestFit="1" customWidth="1"/>
    <col min="4" max="4" width="11.5703125" bestFit="1" customWidth="1"/>
    <col min="5" max="5" width="28.42578125" bestFit="1" customWidth="1"/>
    <col min="6" max="6" width="20.42578125" bestFit="1" customWidth="1"/>
    <col min="7" max="7" width="24.5703125" bestFit="1" customWidth="1"/>
    <col min="8" max="10" width="16.28515625" bestFit="1" customWidth="1"/>
    <col min="11" max="11" width="11.28515625" bestFit="1" customWidth="1"/>
    <col min="12" max="26" width="6" bestFit="1" customWidth="1"/>
    <col min="27" max="27" width="5" bestFit="1" customWidth="1"/>
    <col min="28" max="34" width="6" bestFit="1" customWidth="1"/>
    <col min="35" max="35" width="5" bestFit="1" customWidth="1"/>
    <col min="36" max="37" width="6" bestFit="1" customWidth="1"/>
    <col min="38" max="38" width="5" bestFit="1" customWidth="1"/>
    <col min="39" max="86" width="6" bestFit="1" customWidth="1"/>
    <col min="87" max="87" width="5" bestFit="1" customWidth="1"/>
    <col min="88" max="93" width="6" bestFit="1" customWidth="1"/>
    <col min="94" max="94" width="5" bestFit="1" customWidth="1"/>
    <col min="95" max="99" width="6" bestFit="1" customWidth="1"/>
    <col min="100" max="100" width="5" bestFit="1" customWidth="1"/>
    <col min="101" max="101" width="6" bestFit="1" customWidth="1"/>
    <col min="102" max="102" width="5" bestFit="1" customWidth="1"/>
    <col min="103" max="108" width="6" bestFit="1" customWidth="1"/>
    <col min="109" max="109" width="5" bestFit="1" customWidth="1"/>
    <col min="110" max="113" width="6" bestFit="1" customWidth="1"/>
    <col min="114" max="114" width="5" bestFit="1" customWidth="1"/>
    <col min="115" max="118" width="6" bestFit="1" customWidth="1"/>
    <col min="119" max="119" width="5" bestFit="1" customWidth="1"/>
    <col min="120" max="121" width="6" bestFit="1" customWidth="1"/>
    <col min="122" max="122" width="5" bestFit="1" customWidth="1"/>
    <col min="123" max="124" width="6" bestFit="1" customWidth="1"/>
    <col min="125" max="125" width="5" bestFit="1" customWidth="1"/>
    <col min="126" max="167" width="6" bestFit="1" customWidth="1"/>
    <col min="168" max="168" width="5" bestFit="1" customWidth="1"/>
    <col min="169" max="177" width="6" bestFit="1" customWidth="1"/>
    <col min="178" max="178" width="5" bestFit="1" customWidth="1"/>
    <col min="179" max="183" width="6" bestFit="1" customWidth="1"/>
    <col min="184" max="184" width="5" bestFit="1" customWidth="1"/>
    <col min="185" max="188" width="6" bestFit="1" customWidth="1"/>
    <col min="189" max="189" width="5" bestFit="1" customWidth="1"/>
    <col min="190" max="193" width="6" bestFit="1" customWidth="1"/>
    <col min="194" max="194" width="5" bestFit="1" customWidth="1"/>
    <col min="195" max="197" width="6" bestFit="1" customWidth="1"/>
    <col min="198" max="198" width="5" bestFit="1" customWidth="1"/>
    <col min="199" max="204" width="6" bestFit="1" customWidth="1"/>
    <col min="205" max="205" width="5" bestFit="1" customWidth="1"/>
    <col min="206" max="225" width="6" bestFit="1" customWidth="1"/>
    <col min="226" max="226" width="5" bestFit="1" customWidth="1"/>
    <col min="227" max="235" width="6" bestFit="1" customWidth="1"/>
    <col min="236" max="236" width="5" bestFit="1" customWidth="1"/>
    <col min="237" max="239" width="6" bestFit="1" customWidth="1"/>
    <col min="240" max="240" width="5" bestFit="1" customWidth="1"/>
    <col min="241" max="283" width="6" bestFit="1" customWidth="1"/>
    <col min="284" max="284" width="5" bestFit="1" customWidth="1"/>
    <col min="285" max="292" width="6" bestFit="1" customWidth="1"/>
    <col min="293" max="293" width="5" bestFit="1" customWidth="1"/>
    <col min="294" max="299" width="6" bestFit="1" customWidth="1"/>
    <col min="300" max="300" width="5" bestFit="1" customWidth="1"/>
    <col min="301" max="305" width="6" bestFit="1" customWidth="1"/>
    <col min="306" max="306" width="5" bestFit="1" customWidth="1"/>
    <col min="307" max="320" width="6" bestFit="1" customWidth="1"/>
    <col min="321" max="322" width="5" bestFit="1" customWidth="1"/>
    <col min="323" max="333" width="6" bestFit="1" customWidth="1"/>
    <col min="334" max="334" width="5" bestFit="1" customWidth="1"/>
    <col min="335" max="340" width="6" bestFit="1" customWidth="1"/>
    <col min="341" max="341" width="4" bestFit="1" customWidth="1"/>
    <col min="342" max="342" width="6" bestFit="1" customWidth="1"/>
    <col min="343" max="343" width="5" bestFit="1" customWidth="1"/>
    <col min="344" max="352" width="6" bestFit="1" customWidth="1"/>
    <col min="353" max="353" width="5" bestFit="1" customWidth="1"/>
    <col min="354" max="356" width="6" bestFit="1" customWidth="1"/>
    <col min="357" max="357" width="4" bestFit="1" customWidth="1"/>
    <col min="358" max="364" width="6" bestFit="1" customWidth="1"/>
    <col min="365" max="365" width="5" bestFit="1" customWidth="1"/>
    <col min="366" max="366" width="6" bestFit="1" customWidth="1"/>
    <col min="367" max="367" width="5" bestFit="1" customWidth="1"/>
    <col min="368" max="370" width="6" bestFit="1" customWidth="1"/>
    <col min="371" max="371" width="5" bestFit="1" customWidth="1"/>
    <col min="372" max="373" width="6" bestFit="1" customWidth="1"/>
    <col min="374" max="374" width="5" bestFit="1" customWidth="1"/>
    <col min="375" max="379" width="6" bestFit="1" customWidth="1"/>
    <col min="380" max="380" width="5" bestFit="1" customWidth="1"/>
    <col min="381" max="387" width="6" bestFit="1" customWidth="1"/>
    <col min="388" max="388" width="4" bestFit="1" customWidth="1"/>
    <col min="389" max="391" width="6" bestFit="1" customWidth="1"/>
    <col min="392" max="403" width="7" bestFit="1" customWidth="1"/>
    <col min="404" max="404" width="6" bestFit="1" customWidth="1"/>
    <col min="405" max="419" width="7" bestFit="1" customWidth="1"/>
    <col min="420" max="420" width="6" bestFit="1" customWidth="1"/>
    <col min="421" max="435" width="7" bestFit="1" customWidth="1"/>
    <col min="436" max="436" width="6" bestFit="1" customWidth="1"/>
    <col min="437" max="438" width="7" bestFit="1" customWidth="1"/>
    <col min="439" max="439" width="6" bestFit="1" customWidth="1"/>
    <col min="440" max="444" width="7" bestFit="1" customWidth="1"/>
    <col min="445" max="445" width="6" bestFit="1" customWidth="1"/>
    <col min="446" max="447" width="7" bestFit="1" customWidth="1"/>
    <col min="448" max="448" width="11.28515625" bestFit="1" customWidth="1"/>
    <col min="449" max="458" width="16.28515625" bestFit="1" customWidth="1"/>
    <col min="459" max="459" width="11.28515625" bestFit="1" customWidth="1"/>
  </cols>
  <sheetData>
    <row r="3" spans="1:7" x14ac:dyDescent="0.25">
      <c r="A3" t="s">
        <v>0</v>
      </c>
      <c r="B3" t="s">
        <v>16</v>
      </c>
      <c r="C3" t="s">
        <v>2</v>
      </c>
      <c r="D3" t="s">
        <v>1</v>
      </c>
      <c r="E3" t="s">
        <v>20</v>
      </c>
      <c r="F3" t="s">
        <v>17</v>
      </c>
      <c r="G3" t="s">
        <v>18</v>
      </c>
    </row>
    <row r="4" spans="1:7" x14ac:dyDescent="0.25">
      <c r="A4" s="6">
        <v>83797190</v>
      </c>
      <c r="B4" s="6">
        <v>1979533215</v>
      </c>
      <c r="C4" s="1">
        <v>6.7427374999999984E-2</v>
      </c>
      <c r="D4" s="1">
        <v>5.9516874999999969E-2</v>
      </c>
      <c r="E4" s="1">
        <v>1.02475625E-2</v>
      </c>
      <c r="F4" s="1">
        <v>0.97722299313516903</v>
      </c>
      <c r="G4" s="8">
        <v>0.25060268749999998</v>
      </c>
    </row>
    <row r="8" spans="1:7" x14ac:dyDescent="0.25">
      <c r="A8" s="2" t="s">
        <v>14</v>
      </c>
      <c r="B8" t="s">
        <v>13</v>
      </c>
    </row>
    <row r="9" spans="1:7" x14ac:dyDescent="0.25">
      <c r="A9" t="s">
        <v>3</v>
      </c>
      <c r="B9" s="6">
        <v>49257606</v>
      </c>
    </row>
    <row r="10" spans="1:7" x14ac:dyDescent="0.25">
      <c r="A10" t="s">
        <v>10</v>
      </c>
      <c r="B10" s="6">
        <v>15253112</v>
      </c>
    </row>
    <row r="11" spans="1:7" x14ac:dyDescent="0.25">
      <c r="A11" t="s">
        <v>4</v>
      </c>
      <c r="B11" s="6">
        <v>9453653</v>
      </c>
    </row>
    <row r="12" spans="1:7" x14ac:dyDescent="0.25">
      <c r="A12" t="s">
        <v>8</v>
      </c>
      <c r="B12" s="6">
        <v>8073452</v>
      </c>
    </row>
    <row r="13" spans="1:7" x14ac:dyDescent="0.25">
      <c r="A13" t="s">
        <v>5</v>
      </c>
      <c r="B13" s="6">
        <v>1404634</v>
      </c>
    </row>
    <row r="14" spans="1:7" x14ac:dyDescent="0.25">
      <c r="A14" t="s">
        <v>11</v>
      </c>
      <c r="B14" s="6">
        <v>168240</v>
      </c>
    </row>
    <row r="15" spans="1:7" x14ac:dyDescent="0.25">
      <c r="A15" t="s">
        <v>6</v>
      </c>
      <c r="B15" s="6">
        <v>103620</v>
      </c>
    </row>
    <row r="16" spans="1:7" x14ac:dyDescent="0.25">
      <c r="A16" t="s">
        <v>9</v>
      </c>
      <c r="B16" s="6">
        <v>40256</v>
      </c>
    </row>
    <row r="17" spans="1:7" x14ac:dyDescent="0.25">
      <c r="A17" t="s">
        <v>12</v>
      </c>
      <c r="B17" s="6">
        <v>22409</v>
      </c>
    </row>
    <row r="18" spans="1:7" x14ac:dyDescent="0.25">
      <c r="A18" t="s">
        <v>7</v>
      </c>
      <c r="B18" s="6">
        <v>20208</v>
      </c>
    </row>
    <row r="21" spans="1:7" x14ac:dyDescent="0.25">
      <c r="A21" s="2" t="s">
        <v>14</v>
      </c>
      <c r="B21" t="s">
        <v>13</v>
      </c>
      <c r="C21" t="s">
        <v>21</v>
      </c>
      <c r="D21" t="s">
        <v>19</v>
      </c>
    </row>
    <row r="22" spans="1:7" x14ac:dyDescent="0.25">
      <c r="A22" t="s">
        <v>3</v>
      </c>
      <c r="B22" s="6">
        <v>49257606</v>
      </c>
      <c r="C22" s="6">
        <v>49337339</v>
      </c>
      <c r="D22" s="6">
        <v>108963026</v>
      </c>
    </row>
    <row r="23" spans="1:7" x14ac:dyDescent="0.25">
      <c r="A23" t="s">
        <v>10</v>
      </c>
      <c r="B23" s="6">
        <v>15253112</v>
      </c>
      <c r="C23" s="6">
        <v>15476598</v>
      </c>
      <c r="D23" s="6">
        <v>107153721</v>
      </c>
      <c r="G23" s="7">
        <v>8</v>
      </c>
    </row>
    <row r="24" spans="1:7" x14ac:dyDescent="0.25">
      <c r="A24" t="s">
        <v>4</v>
      </c>
      <c r="B24" s="6">
        <v>9453653</v>
      </c>
      <c r="C24" s="6">
        <v>10037249</v>
      </c>
      <c r="D24" s="6">
        <v>132743106</v>
      </c>
      <c r="F24" s="3"/>
      <c r="G24" s="3"/>
    </row>
    <row r="25" spans="1:7" x14ac:dyDescent="0.25">
      <c r="A25" t="s">
        <v>8</v>
      </c>
      <c r="B25" s="6">
        <v>8073452</v>
      </c>
      <c r="C25" s="6">
        <v>11074532</v>
      </c>
      <c r="D25" s="6">
        <v>324734058</v>
      </c>
      <c r="F25" s="3"/>
      <c r="G25" s="3"/>
    </row>
    <row r="26" spans="1:7" x14ac:dyDescent="0.25">
      <c r="A26" t="s">
        <v>5</v>
      </c>
      <c r="B26" s="6">
        <v>1404634</v>
      </c>
      <c r="C26" s="6">
        <v>5859923</v>
      </c>
      <c r="D26" s="6">
        <v>274898127</v>
      </c>
      <c r="F26" s="3"/>
      <c r="G26" s="3"/>
    </row>
    <row r="27" spans="1:7" x14ac:dyDescent="0.25">
      <c r="A27" t="s">
        <v>11</v>
      </c>
      <c r="B27" s="6">
        <v>168240</v>
      </c>
      <c r="C27" s="6">
        <v>2094538</v>
      </c>
      <c r="D27" s="6">
        <v>105468431</v>
      </c>
      <c r="F27" s="3"/>
      <c r="G27" s="3"/>
    </row>
    <row r="28" spans="1:7" x14ac:dyDescent="0.25">
      <c r="A28" t="s">
        <v>6</v>
      </c>
      <c r="B28" s="6">
        <v>103620</v>
      </c>
      <c r="C28" s="6">
        <v>2558075</v>
      </c>
      <c r="D28" s="6">
        <v>140566838</v>
      </c>
      <c r="F28" s="3"/>
      <c r="G28" s="3"/>
    </row>
    <row r="29" spans="1:7" x14ac:dyDescent="0.25">
      <c r="A29" t="s">
        <v>9</v>
      </c>
      <c r="B29" s="6">
        <v>40256</v>
      </c>
      <c r="C29" s="6">
        <v>2134770</v>
      </c>
      <c r="D29" s="6">
        <v>110104157</v>
      </c>
      <c r="F29" s="3"/>
      <c r="G29" s="3"/>
    </row>
    <row r="30" spans="1:7" x14ac:dyDescent="0.25">
      <c r="A30" t="s">
        <v>12</v>
      </c>
      <c r="B30" s="6">
        <v>22409</v>
      </c>
      <c r="C30" s="6">
        <v>2112774</v>
      </c>
      <c r="D30" s="6">
        <v>113635463</v>
      </c>
      <c r="F30" s="3"/>
      <c r="G30" s="3"/>
    </row>
    <row r="31" spans="1:7" x14ac:dyDescent="0.25">
      <c r="A31" t="s">
        <v>7</v>
      </c>
      <c r="B31" s="6">
        <v>20208</v>
      </c>
      <c r="C31" s="6">
        <v>11191776</v>
      </c>
      <c r="D31" s="6">
        <v>561266288</v>
      </c>
      <c r="F31" s="3"/>
      <c r="G31" s="3"/>
    </row>
    <row r="32" spans="1:7" x14ac:dyDescent="0.25">
      <c r="F32" s="3"/>
      <c r="G32" s="3"/>
    </row>
    <row r="33" spans="1:7" x14ac:dyDescent="0.25">
      <c r="F33" s="3"/>
      <c r="G33" s="3"/>
    </row>
    <row r="34" spans="1:7" x14ac:dyDescent="0.25">
      <c r="A34" s="9" t="s">
        <v>15</v>
      </c>
      <c r="B34" s="10">
        <v>1</v>
      </c>
      <c r="C34" s="6"/>
      <c r="D34" s="6"/>
      <c r="F34" s="3"/>
      <c r="G34" s="3"/>
    </row>
    <row r="35" spans="1:7" x14ac:dyDescent="0.25">
      <c r="B35" s="6"/>
      <c r="D35" s="6"/>
      <c r="F35" s="3"/>
      <c r="G35" s="3"/>
    </row>
    <row r="36" spans="1:7" x14ac:dyDescent="0.25">
      <c r="A36" t="str">
        <f>A21</f>
        <v>FirmSize</v>
      </c>
      <c r="B36" t="str" cm="1">
        <f t="array" ref="B36">_xlfn.IFS($B$34=1,B21,$B$34=2,C21,$B$34=3,D21)</f>
        <v>Sum of firms</v>
      </c>
      <c r="F36" s="3"/>
      <c r="G36" s="3"/>
    </row>
    <row r="37" spans="1:7" x14ac:dyDescent="0.25">
      <c r="A37" t="str">
        <f t="shared" ref="A37:A46" si="0">A22</f>
        <v>1 to 4</v>
      </c>
      <c r="B37" s="6" cm="1">
        <f t="array" ref="B37">_xlfn.IFS($B$34=1,B22,$B$34=2,C22,$B$34=3,D22)</f>
        <v>49257606</v>
      </c>
      <c r="F37" s="3"/>
      <c r="G37" s="3"/>
    </row>
    <row r="38" spans="1:7" x14ac:dyDescent="0.25">
      <c r="A38" t="str">
        <f t="shared" si="0"/>
        <v>5 to 9</v>
      </c>
      <c r="B38" s="6" cm="1">
        <f t="array" ref="B38">_xlfn.IFS($B$34=1,B23,$B$34=2,C23,$B$34=3,D23)</f>
        <v>15253112</v>
      </c>
      <c r="F38" s="3"/>
      <c r="G38" s="3"/>
    </row>
    <row r="39" spans="1:7" x14ac:dyDescent="0.25">
      <c r="A39" t="str">
        <f t="shared" si="0"/>
        <v>10 to 19</v>
      </c>
      <c r="B39" s="6" cm="1">
        <f t="array" ref="B39">_xlfn.IFS($B$34=1,B24,$B$34=2,C24,$B$34=3,D24)</f>
        <v>9453653</v>
      </c>
      <c r="F39" s="3"/>
      <c r="G39" s="3"/>
    </row>
    <row r="40" spans="1:7" x14ac:dyDescent="0.25">
      <c r="A40" t="str">
        <f t="shared" si="0"/>
        <v>20 to 99</v>
      </c>
      <c r="B40" s="6" cm="1">
        <f t="array" ref="B40">_xlfn.IFS($B$34=1,B25,$B$34=2,C25,$B$34=3,D25)</f>
        <v>8073452</v>
      </c>
      <c r="F40" s="3"/>
      <c r="G40" s="3"/>
    </row>
    <row r="41" spans="1:7" x14ac:dyDescent="0.25">
      <c r="A41" t="str">
        <f t="shared" si="0"/>
        <v>100 to 499</v>
      </c>
      <c r="B41" s="6" cm="1">
        <f t="array" ref="B41">_xlfn.IFS($B$34=1,B26,$B$34=2,C26,$B$34=3,D26)</f>
        <v>1404634</v>
      </c>
      <c r="F41" s="3"/>
      <c r="G41" s="3"/>
    </row>
    <row r="42" spans="1:7" x14ac:dyDescent="0.25">
      <c r="A42" t="str">
        <f t="shared" si="0"/>
        <v>500 to 999</v>
      </c>
      <c r="B42" s="6" cm="1">
        <f t="array" ref="B42">_xlfn.IFS($B$34=1,B27,$B$34=2,C27,$B$34=3,D27)</f>
        <v>168240</v>
      </c>
      <c r="F42" s="3"/>
      <c r="G42" s="3"/>
    </row>
    <row r="43" spans="1:7" x14ac:dyDescent="0.25">
      <c r="A43" t="str">
        <f t="shared" si="0"/>
        <v>1000 to 2499</v>
      </c>
      <c r="B43" s="6" cm="1">
        <f t="array" ref="B43">_xlfn.IFS($B$34=1,B28,$B$34=2,C28,$B$34=3,D28)</f>
        <v>103620</v>
      </c>
      <c r="F43" s="3"/>
      <c r="G43" s="3"/>
    </row>
    <row r="44" spans="1:7" x14ac:dyDescent="0.25">
      <c r="A44" t="str">
        <f t="shared" si="0"/>
        <v>2500 to 4999</v>
      </c>
      <c r="B44" s="6" cm="1">
        <f t="array" ref="B44">_xlfn.IFS($B$34=1,B29,$B$34=2,C29,$B$34=3,D29)</f>
        <v>40256</v>
      </c>
      <c r="F44" s="3"/>
      <c r="G44" s="3"/>
    </row>
    <row r="45" spans="1:7" x14ac:dyDescent="0.25">
      <c r="A45" t="str">
        <f t="shared" si="0"/>
        <v>5000 to 9999</v>
      </c>
      <c r="B45" s="6" cm="1">
        <f t="array" ref="B45">_xlfn.IFS($B$34=1,B30,$B$34=2,C30,$B$34=3,D30)</f>
        <v>22409</v>
      </c>
      <c r="F45" s="3"/>
      <c r="G45" s="3"/>
    </row>
    <row r="46" spans="1:7" x14ac:dyDescent="0.25">
      <c r="A46" t="str">
        <f t="shared" si="0"/>
        <v>10000+</v>
      </c>
      <c r="B46" s="6" cm="1">
        <f t="array" ref="B46">_xlfn.IFS($B$34=1,B31,$B$34=2,C31,$B$34=3,D31)</f>
        <v>20208</v>
      </c>
      <c r="F46" s="3"/>
      <c r="G46" s="3"/>
    </row>
    <row r="47" spans="1:7" x14ac:dyDescent="0.25">
      <c r="F47" s="3"/>
      <c r="G47" s="3"/>
    </row>
    <row r="48" spans="1:7" x14ac:dyDescent="0.25">
      <c r="F48" s="3"/>
      <c r="G48" s="3"/>
    </row>
    <row r="49" spans="1:7" x14ac:dyDescent="0.25">
      <c r="A49" s="2" t="s">
        <v>14</v>
      </c>
      <c r="B49" t="s">
        <v>22</v>
      </c>
      <c r="C49" t="s">
        <v>23</v>
      </c>
      <c r="F49" s="3"/>
      <c r="G49" s="3"/>
    </row>
    <row r="50" spans="1:7" x14ac:dyDescent="0.25">
      <c r="A50" t="s">
        <v>3</v>
      </c>
      <c r="B50" s="1">
        <v>0.167778125</v>
      </c>
      <c r="C50" s="1">
        <v>0.16116750000000002</v>
      </c>
      <c r="F50" s="3"/>
      <c r="G50" s="3"/>
    </row>
    <row r="51" spans="1:7" x14ac:dyDescent="0.25">
      <c r="A51" t="s">
        <v>10</v>
      </c>
      <c r="B51" s="1">
        <v>3.6190624999999997E-2</v>
      </c>
      <c r="C51" s="1">
        <v>3.5037499999999999E-2</v>
      </c>
      <c r="F51" s="3"/>
      <c r="G51" s="3"/>
    </row>
    <row r="52" spans="1:7" x14ac:dyDescent="0.25">
      <c r="A52" t="s">
        <v>4</v>
      </c>
      <c r="B52" s="1">
        <v>3.0066874999999993E-2</v>
      </c>
      <c r="C52" s="1">
        <v>2.851625E-2</v>
      </c>
      <c r="F52" s="3"/>
      <c r="G52" s="3"/>
    </row>
    <row r="53" spans="1:7" x14ac:dyDescent="0.25">
      <c r="A53" t="s">
        <v>8</v>
      </c>
      <c r="B53" s="1">
        <v>3.5050624999999995E-2</v>
      </c>
      <c r="C53" s="1">
        <v>2.8038750000000001E-2</v>
      </c>
      <c r="F53" s="3"/>
      <c r="G53" s="3"/>
    </row>
    <row r="54" spans="1:7" x14ac:dyDescent="0.25">
      <c r="A54" t="s">
        <v>5</v>
      </c>
      <c r="B54" s="1">
        <v>5.4476874999999994E-2</v>
      </c>
      <c r="C54" s="1">
        <v>3.9218750000000004E-2</v>
      </c>
      <c r="F54" s="3"/>
      <c r="G54" s="3"/>
    </row>
    <row r="55" spans="1:7" x14ac:dyDescent="0.25">
      <c r="A55" t="s">
        <v>11</v>
      </c>
      <c r="B55" s="1">
        <v>6.3363124999999992E-2</v>
      </c>
      <c r="C55" s="1">
        <v>4.7923749999999994E-2</v>
      </c>
      <c r="F55" s="3"/>
      <c r="G55" s="3"/>
    </row>
    <row r="56" spans="1:7" x14ac:dyDescent="0.25">
      <c r="A56" t="s">
        <v>6</v>
      </c>
      <c r="B56" s="1">
        <v>7.2553124999999996E-2</v>
      </c>
      <c r="C56" s="1">
        <v>5.7895624999999999E-2</v>
      </c>
      <c r="F56" s="3"/>
      <c r="G56" s="3"/>
    </row>
    <row r="57" spans="1:7" x14ac:dyDescent="0.25">
      <c r="A57" t="s">
        <v>9</v>
      </c>
      <c r="B57" s="1">
        <v>6.7091875000000009E-2</v>
      </c>
      <c r="C57" s="1">
        <v>6.0503124999999998E-2</v>
      </c>
      <c r="F57" s="3"/>
      <c r="G57" s="3"/>
    </row>
    <row r="58" spans="1:7" x14ac:dyDescent="0.25">
      <c r="A58" t="s">
        <v>12</v>
      </c>
      <c r="B58" s="1">
        <v>8.1176874999999996E-2</v>
      </c>
      <c r="C58" s="1">
        <v>6.2355624999999998E-2</v>
      </c>
      <c r="F58" s="3"/>
      <c r="G58" s="3"/>
    </row>
    <row r="59" spans="1:7" x14ac:dyDescent="0.25">
      <c r="A59" t="s">
        <v>7</v>
      </c>
      <c r="B59" s="1">
        <v>6.6525625000000005E-2</v>
      </c>
      <c r="C59" s="1">
        <v>7.4511875000000005E-2</v>
      </c>
      <c r="F59" s="3"/>
      <c r="G59" s="3"/>
    </row>
    <row r="60" spans="1:7" x14ac:dyDescent="0.25">
      <c r="F60" s="3"/>
      <c r="G60" s="3"/>
    </row>
    <row r="61" spans="1:7" x14ac:dyDescent="0.25">
      <c r="A61" s="2" t="s">
        <v>14</v>
      </c>
      <c r="B61" t="s">
        <v>24</v>
      </c>
      <c r="C61" t="s">
        <v>25</v>
      </c>
      <c r="F61" s="3"/>
      <c r="G61" s="3"/>
    </row>
    <row r="62" spans="1:7" x14ac:dyDescent="0.25">
      <c r="A62" t="s">
        <v>3</v>
      </c>
      <c r="B62" s="6">
        <v>29788273</v>
      </c>
      <c r="C62" s="6">
        <v>29063419</v>
      </c>
      <c r="F62" s="3"/>
      <c r="G62" s="3"/>
    </row>
    <row r="63" spans="1:7" x14ac:dyDescent="0.25">
      <c r="A63" t="s">
        <v>10</v>
      </c>
      <c r="B63" s="6">
        <v>18988140</v>
      </c>
      <c r="C63" s="6">
        <v>18349296</v>
      </c>
      <c r="F63" s="3"/>
      <c r="G63" s="3"/>
    </row>
    <row r="64" spans="1:7" x14ac:dyDescent="0.25">
      <c r="A64" t="s">
        <v>4</v>
      </c>
      <c r="B64" s="6">
        <v>20143447</v>
      </c>
      <c r="C64" s="6">
        <v>18911369</v>
      </c>
      <c r="F64" s="3"/>
      <c r="G64" s="3"/>
    </row>
    <row r="65" spans="1:7" x14ac:dyDescent="0.25">
      <c r="A65" t="s">
        <v>8</v>
      </c>
      <c r="B65" s="6">
        <v>42359205</v>
      </c>
      <c r="C65" s="6">
        <v>38136954</v>
      </c>
      <c r="F65" s="3"/>
      <c r="G65" s="3"/>
    </row>
    <row r="66" spans="1:7" x14ac:dyDescent="0.25">
      <c r="A66" t="s">
        <v>5</v>
      </c>
      <c r="B66" s="6">
        <v>33465329</v>
      </c>
      <c r="C66" s="6">
        <v>28899846</v>
      </c>
      <c r="F66" s="3"/>
      <c r="G66" s="3"/>
    </row>
    <row r="67" spans="1:7" x14ac:dyDescent="0.25">
      <c r="A67" t="s">
        <v>11</v>
      </c>
      <c r="B67" s="6">
        <v>13154434</v>
      </c>
      <c r="C67" s="6">
        <v>11410771</v>
      </c>
      <c r="F67" s="3"/>
      <c r="G67" s="3"/>
    </row>
    <row r="68" spans="1:7" x14ac:dyDescent="0.25">
      <c r="A68" t="s">
        <v>6</v>
      </c>
      <c r="B68" s="6">
        <v>16490307</v>
      </c>
      <c r="C68" s="6">
        <v>14544907</v>
      </c>
      <c r="F68" s="3"/>
      <c r="G68" s="3"/>
    </row>
    <row r="69" spans="1:7" x14ac:dyDescent="0.25">
      <c r="A69" t="s">
        <v>9</v>
      </c>
      <c r="B69" s="6">
        <v>12457689</v>
      </c>
      <c r="C69" s="6">
        <v>11285711</v>
      </c>
      <c r="F69" s="3"/>
      <c r="G69" s="3"/>
    </row>
    <row r="70" spans="1:7" x14ac:dyDescent="0.25">
      <c r="A70" t="s">
        <v>12</v>
      </c>
      <c r="B70" s="6">
        <v>13020674</v>
      </c>
      <c r="C70" s="6">
        <v>11747876</v>
      </c>
    </row>
    <row r="71" spans="1:7" x14ac:dyDescent="0.25">
      <c r="A71" t="s">
        <v>7</v>
      </c>
      <c r="B71" s="6">
        <v>58164432</v>
      </c>
      <c r="C71" s="6">
        <v>57827113</v>
      </c>
    </row>
    <row r="74" spans="1:7" x14ac:dyDescent="0.25">
      <c r="A74" s="4" t="s">
        <v>26</v>
      </c>
      <c r="B74" s="10" t="b">
        <v>1</v>
      </c>
      <c r="C74" s="4" t="b">
        <v>0</v>
      </c>
    </row>
    <row r="77" spans="1:7" x14ac:dyDescent="0.25">
      <c r="A77" t="str">
        <f>A61</f>
        <v>FirmSize</v>
      </c>
      <c r="B77" t="str" cm="1">
        <f t="array" ref="B77">_xlfn.IFS($B$74=TRUE,B61,$B$74=FALSE," ")</f>
        <v>Sum of job_creation</v>
      </c>
      <c r="C77" t="str" cm="1">
        <f t="array" ref="C77">_xlfn.IFS($C$74=TRUE,C61,$C$74=FALSE," ")</f>
        <v xml:space="preserve"> </v>
      </c>
    </row>
    <row r="78" spans="1:7" x14ac:dyDescent="0.25">
      <c r="A78" t="str">
        <f t="shared" ref="A78:A87" si="1">A62</f>
        <v>1 to 4</v>
      </c>
      <c r="B78" s="6" cm="1">
        <f t="array" ref="B78">_xlfn.IFS($B$74=TRUE,B62,$B$74=FALSE," ")</f>
        <v>29788273</v>
      </c>
      <c r="C78" s="6" t="str" cm="1">
        <f t="array" ref="C78">_xlfn.IFS($C$74=TRUE,C62,$C$74=FALSE," ")</f>
        <v xml:space="preserve"> </v>
      </c>
    </row>
    <row r="79" spans="1:7" x14ac:dyDescent="0.25">
      <c r="A79" t="str">
        <f t="shared" si="1"/>
        <v>5 to 9</v>
      </c>
      <c r="B79" s="6" cm="1">
        <f t="array" ref="B79">_xlfn.IFS($B$74=TRUE,B63,$B$74=FALSE," ")</f>
        <v>18988140</v>
      </c>
      <c r="C79" s="6" t="str" cm="1">
        <f t="array" ref="C79">_xlfn.IFS($C$74=TRUE,C63,$C$74=FALSE," ")</f>
        <v xml:space="preserve"> </v>
      </c>
    </row>
    <row r="80" spans="1:7" x14ac:dyDescent="0.25">
      <c r="A80" t="str">
        <f t="shared" si="1"/>
        <v>10 to 19</v>
      </c>
      <c r="B80" s="6" cm="1">
        <f t="array" ref="B80">_xlfn.IFS($B$74=TRUE,B64,$B$74=FALSE," ")</f>
        <v>20143447</v>
      </c>
      <c r="C80" s="6" t="str" cm="1">
        <f t="array" ref="C80">_xlfn.IFS($C$74=TRUE,C64,$C$74=FALSE," ")</f>
        <v xml:space="preserve"> </v>
      </c>
    </row>
    <row r="81" spans="1:3" x14ac:dyDescent="0.25">
      <c r="A81" t="str">
        <f t="shared" si="1"/>
        <v>20 to 99</v>
      </c>
      <c r="B81" s="6" cm="1">
        <f t="array" ref="B81">_xlfn.IFS($B$74=TRUE,B65,$B$74=FALSE," ")</f>
        <v>42359205</v>
      </c>
      <c r="C81" s="6" t="str" cm="1">
        <f t="array" ref="C81">_xlfn.IFS($C$74=TRUE,C65,$C$74=FALSE," ")</f>
        <v xml:space="preserve"> </v>
      </c>
    </row>
    <row r="82" spans="1:3" x14ac:dyDescent="0.25">
      <c r="A82" t="str">
        <f t="shared" si="1"/>
        <v>100 to 499</v>
      </c>
      <c r="B82" s="6" cm="1">
        <f t="array" ref="B82">_xlfn.IFS($B$74=TRUE,B66,$B$74=FALSE," ")</f>
        <v>33465329</v>
      </c>
      <c r="C82" s="6" t="str" cm="1">
        <f t="array" ref="C82">_xlfn.IFS($C$74=TRUE,C66,$C$74=FALSE," ")</f>
        <v xml:space="preserve"> </v>
      </c>
    </row>
    <row r="83" spans="1:3" x14ac:dyDescent="0.25">
      <c r="A83" t="str">
        <f t="shared" si="1"/>
        <v>500 to 999</v>
      </c>
      <c r="B83" s="6" cm="1">
        <f t="array" ref="B83">_xlfn.IFS($B$74=TRUE,B67,$B$74=FALSE," ")</f>
        <v>13154434</v>
      </c>
      <c r="C83" s="6" t="str" cm="1">
        <f t="array" ref="C83">_xlfn.IFS($C$74=TRUE,C67,$C$74=FALSE," ")</f>
        <v xml:space="preserve"> </v>
      </c>
    </row>
    <row r="84" spans="1:3" x14ac:dyDescent="0.25">
      <c r="A84" t="str">
        <f t="shared" si="1"/>
        <v>1000 to 2499</v>
      </c>
      <c r="B84" s="6" cm="1">
        <f t="array" ref="B84">_xlfn.IFS($B$74=TRUE,B68,$B$74=FALSE," ")</f>
        <v>16490307</v>
      </c>
      <c r="C84" s="6" t="str" cm="1">
        <f t="array" ref="C84">_xlfn.IFS($C$74=TRUE,C68,$C$74=FALSE," ")</f>
        <v xml:space="preserve"> </v>
      </c>
    </row>
    <row r="85" spans="1:3" x14ac:dyDescent="0.25">
      <c r="A85" t="str">
        <f t="shared" si="1"/>
        <v>2500 to 4999</v>
      </c>
      <c r="B85" s="6" cm="1">
        <f t="array" ref="B85">_xlfn.IFS($B$74=TRUE,B69,$B$74=FALSE," ")</f>
        <v>12457689</v>
      </c>
      <c r="C85" s="6" t="str" cm="1">
        <f t="array" ref="C85">_xlfn.IFS($C$74=TRUE,C69,$C$74=FALSE," ")</f>
        <v xml:space="preserve"> </v>
      </c>
    </row>
    <row r="86" spans="1:3" x14ac:dyDescent="0.25">
      <c r="A86" t="str">
        <f t="shared" si="1"/>
        <v>5000 to 9999</v>
      </c>
      <c r="B86" s="6" cm="1">
        <f t="array" ref="B86">_xlfn.IFS($B$74=TRUE,B70,$B$74=FALSE," ")</f>
        <v>13020674</v>
      </c>
      <c r="C86" s="6" t="str" cm="1">
        <f t="array" ref="C86">_xlfn.IFS($C$74=TRUE,C70,$C$74=FALSE," ")</f>
        <v xml:space="preserve"> </v>
      </c>
    </row>
    <row r="87" spans="1:3" x14ac:dyDescent="0.25">
      <c r="A87" t="str">
        <f t="shared" si="1"/>
        <v>10000+</v>
      </c>
      <c r="B87" s="6" cm="1">
        <f t="array" ref="B87">_xlfn.IFS($B$74=TRUE,B71,$B$74=FALSE," ")</f>
        <v>58164432</v>
      </c>
      <c r="C87" s="6" t="str" cm="1">
        <f t="array" ref="C87">_xlfn.IFS($C$74=TRUE,C71,$C$74=FALSE," ")</f>
        <v xml:space="preserve"> </v>
      </c>
    </row>
    <row r="90" spans="1:3" x14ac:dyDescent="0.25">
      <c r="A90" s="2" t="s">
        <v>14</v>
      </c>
      <c r="B90" t="s">
        <v>27</v>
      </c>
    </row>
    <row r="91" spans="1:3" x14ac:dyDescent="0.25">
      <c r="A91" t="s">
        <v>3</v>
      </c>
      <c r="B91" s="8">
        <v>0.12249580420006745</v>
      </c>
    </row>
    <row r="92" spans="1:3" x14ac:dyDescent="0.25">
      <c r="A92" t="s">
        <v>10</v>
      </c>
      <c r="B92" s="8">
        <v>2.8301066145246308E-2</v>
      </c>
    </row>
    <row r="93" spans="1:3" x14ac:dyDescent="0.25">
      <c r="A93" t="s">
        <v>4</v>
      </c>
      <c r="B93" s="8">
        <v>2.0784284995498364E-2</v>
      </c>
    </row>
    <row r="94" spans="1:3" x14ac:dyDescent="0.25">
      <c r="A94" t="s">
        <v>8</v>
      </c>
      <c r="B94" s="8">
        <v>1.3943726623624988E-2</v>
      </c>
    </row>
    <row r="95" spans="1:3" x14ac:dyDescent="0.25">
      <c r="A95" t="s">
        <v>5</v>
      </c>
      <c r="B95" s="8">
        <v>6.7079693490463208E-3</v>
      </c>
    </row>
    <row r="96" spans="1:3" x14ac:dyDescent="0.25">
      <c r="A96" t="s">
        <v>11</v>
      </c>
      <c r="B96" s="8">
        <v>2.7572533156925774E-3</v>
      </c>
    </row>
    <row r="97" spans="1:2" x14ac:dyDescent="0.25">
      <c r="A97" t="s">
        <v>6</v>
      </c>
      <c r="B97" s="8">
        <v>1.9694696330354242E-3</v>
      </c>
    </row>
    <row r="98" spans="1:2" x14ac:dyDescent="0.25">
      <c r="A98" t="s">
        <v>9</v>
      </c>
      <c r="B98" s="8">
        <v>1.6620249663163048E-3</v>
      </c>
    </row>
    <row r="99" spans="1:2" x14ac:dyDescent="0.25">
      <c r="A99" t="s">
        <v>12</v>
      </c>
      <c r="B99" s="8">
        <v>3.3517680576503989E-4</v>
      </c>
    </row>
    <row r="100" spans="1:2" x14ac:dyDescent="0.25">
      <c r="A100" t="s">
        <v>7</v>
      </c>
      <c r="B100" s="8">
        <v>0</v>
      </c>
    </row>
  </sheetData>
  <pageMargins left="0.7" right="0.7" top="0.75" bottom="0.75" header="0.3" footer="0.3"/>
  <pageSetup orientation="portrait"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05547398-9754-4269-9833-30549047C14A}">
  <ds:schemaRefs/>
</ds:datastoreItem>
</file>

<file path=customXml/itemProps2.xml><?xml version="1.0" encoding="utf-8"?>
<ds:datastoreItem xmlns:ds="http://schemas.openxmlformats.org/officeDocument/2006/customXml" ds:itemID="{F56170A7-0AD5-4C54-8300-A8965F26ED96}">
  <ds:schemaRefs/>
</ds:datastoreItem>
</file>

<file path=customXml/itemProps3.xml><?xml version="1.0" encoding="utf-8"?>
<ds:datastoreItem xmlns:ds="http://schemas.openxmlformats.org/officeDocument/2006/customXml" ds:itemID="{17E659B4-5F34-4875-BFD2-26038E92794F}">
  <ds:schemaRefs/>
</ds:datastoreItem>
</file>

<file path=customXml/itemProps4.xml><?xml version="1.0" encoding="utf-8"?>
<ds:datastoreItem xmlns:ds="http://schemas.openxmlformats.org/officeDocument/2006/customXml" ds:itemID="{40A96E96-98A8-40DA-93AC-D38CDE2ABCD1}">
  <ds:schemaRefs/>
</ds:datastoreItem>
</file>

<file path=customXml/itemProps5.xml><?xml version="1.0" encoding="utf-8"?>
<ds:datastoreItem xmlns:ds="http://schemas.openxmlformats.org/officeDocument/2006/customXml" ds:itemID="{79F869FD-DAEC-42D4-A110-4EF119DA975B}">
  <ds:schemaRefs/>
</ds:datastoreItem>
</file>

<file path=customXml/itemProps6.xml><?xml version="1.0" encoding="utf-8"?>
<ds:datastoreItem xmlns:ds="http://schemas.openxmlformats.org/officeDocument/2006/customXml" ds:itemID="{468BC7A4-D67E-44B1-9982-3B639890323F}">
  <ds:schemaRefs/>
</ds:datastoreItem>
</file>

<file path=customXml/itemProps7.xml><?xml version="1.0" encoding="utf-8"?>
<ds:datastoreItem xmlns:ds="http://schemas.openxmlformats.org/officeDocument/2006/customXml" ds:itemID="{0109D4E2-3E50-4AA1-ADD4-BB9D2AA223DA}">
  <ds:schemaRefs/>
</ds:datastoreItem>
</file>

<file path=customXml/itemProps8.xml><?xml version="1.0" encoding="utf-8"?>
<ds:datastoreItem xmlns:ds="http://schemas.openxmlformats.org/officeDocument/2006/customXml" ds:itemID="{729E2F2C-41A1-424E-B781-A4248481524E}">
  <ds:schemaRefs/>
</ds:datastoreItem>
</file>

<file path=customXml/itemProps9.xml><?xml version="1.0" encoding="utf-8"?>
<ds:datastoreItem xmlns:ds="http://schemas.openxmlformats.org/officeDocument/2006/customXml" ds:itemID="{C836CABB-2273-4BBA-9B69-E18617D1933D}">
  <ds:schemaRefs/>
</ds:datastoreItem>
</file>

<file path=customXml/itemProps10.xml><?xml version="1.0" encoding="utf-8"?>
<ds:datastoreItem xmlns:ds="http://schemas.openxmlformats.org/officeDocument/2006/customXml" ds:itemID="{9DD9CE88-CE79-4E63-A4C7-D87F10FCAC76}">
  <ds:schemaRefs/>
</ds:datastoreItem>
</file>

<file path=customXml/itemProps11.xml><?xml version="1.0" encoding="utf-8"?>
<ds:datastoreItem xmlns:ds="http://schemas.openxmlformats.org/officeDocument/2006/customXml" ds:itemID="{629464AC-3E0C-4828-8664-9A368C23E5F2}">
  <ds:schemaRefs/>
</ds:datastoreItem>
</file>

<file path=customXml/itemProps12.xml><?xml version="1.0" encoding="utf-8"?>
<ds:datastoreItem xmlns:ds="http://schemas.openxmlformats.org/officeDocument/2006/customXml" ds:itemID="{86FF820E-FA0E-4CD4-8A5D-EC8B2D71EC18}">
  <ds:schemaRefs/>
</ds:datastoreItem>
</file>

<file path=customXml/itemProps13.xml><?xml version="1.0" encoding="utf-8"?>
<ds:datastoreItem xmlns:ds="http://schemas.openxmlformats.org/officeDocument/2006/customXml" ds:itemID="{EB26A58E-6640-4F9A-A13F-ED2DFF700067}">
  <ds:schemaRefs/>
</ds:datastoreItem>
</file>

<file path=customXml/itemProps14.xml><?xml version="1.0" encoding="utf-8"?>
<ds:datastoreItem xmlns:ds="http://schemas.openxmlformats.org/officeDocument/2006/customXml" ds:itemID="{65FC414B-8795-4E92-81F1-88D7B2339ED1}">
  <ds:schemaRefs/>
</ds:datastoreItem>
</file>

<file path=customXml/itemProps15.xml><?xml version="1.0" encoding="utf-8"?>
<ds:datastoreItem xmlns:ds="http://schemas.openxmlformats.org/officeDocument/2006/customXml" ds:itemID="{18B22868-E903-438C-8034-879544B8BADE}">
  <ds:schemaRefs/>
</ds:datastoreItem>
</file>

<file path=customXml/itemProps16.xml><?xml version="1.0" encoding="utf-8"?>
<ds:datastoreItem xmlns:ds="http://schemas.openxmlformats.org/officeDocument/2006/customXml" ds:itemID="{A1AEE005-36BA-4490-9014-5B4AE1BA8B18}">
  <ds:schemaRefs/>
</ds:datastoreItem>
</file>

<file path=customXml/itemProps17.xml><?xml version="1.0" encoding="utf-8"?>
<ds:datastoreItem xmlns:ds="http://schemas.openxmlformats.org/officeDocument/2006/customXml" ds:itemID="{78CD5B67-7242-41D5-9946-3A97E3F6317D}">
  <ds:schemaRefs/>
</ds:datastoreItem>
</file>

<file path=customXml/itemProps18.xml><?xml version="1.0" encoding="utf-8"?>
<ds:datastoreItem xmlns:ds="http://schemas.openxmlformats.org/officeDocument/2006/customXml" ds:itemID="{7BC8C8C6-0A2B-4C7D-AB26-BDA3915E45F5}">
  <ds:schemaRefs/>
</ds:datastoreItem>
</file>

<file path=customXml/itemProps19.xml><?xml version="1.0" encoding="utf-8"?>
<ds:datastoreItem xmlns:ds="http://schemas.openxmlformats.org/officeDocument/2006/customXml" ds:itemID="{B949282A-0103-404B-A232-A3E3F1980BAA}">
  <ds:schemaRefs/>
</ds:datastoreItem>
</file>

<file path=customXml/itemProps20.xml><?xml version="1.0" encoding="utf-8"?>
<ds:datastoreItem xmlns:ds="http://schemas.openxmlformats.org/officeDocument/2006/customXml" ds:itemID="{FF7C8462-02A5-448C-8BCA-37D00F9D7944}">
  <ds:schemaRefs/>
</ds:datastoreItem>
</file>

<file path=customXml/itemProps21.xml><?xml version="1.0" encoding="utf-8"?>
<ds:datastoreItem xmlns:ds="http://schemas.openxmlformats.org/officeDocument/2006/customXml" ds:itemID="{D8DCB511-EDDC-48E0-92B1-6C8466A34ED0}">
  <ds:schemaRefs/>
</ds:datastoreItem>
</file>

<file path=customXml/itemProps22.xml><?xml version="1.0" encoding="utf-8"?>
<ds:datastoreItem xmlns:ds="http://schemas.openxmlformats.org/officeDocument/2006/customXml" ds:itemID="{28902FE3-10CF-4881-A42B-927B14951D41}">
  <ds:schemaRefs/>
</ds:datastoreItem>
</file>

<file path=customXml/itemProps23.xml><?xml version="1.0" encoding="utf-8"?>
<ds:datastoreItem xmlns:ds="http://schemas.openxmlformats.org/officeDocument/2006/customXml" ds:itemID="{1D7795E8-80A3-460C-B894-EBDB1C5B7547}">
  <ds:schemaRefs/>
</ds:datastoreItem>
</file>

<file path=customXml/itemProps24.xml><?xml version="1.0" encoding="utf-8"?>
<ds:datastoreItem xmlns:ds="http://schemas.openxmlformats.org/officeDocument/2006/customXml" ds:itemID="{F7A50820-A4C0-4E65-81A7-BCE9D71172E0}">
  <ds:schemaRefs/>
</ds:datastoreItem>
</file>

<file path=customXml/itemProps25.xml><?xml version="1.0" encoding="utf-8"?>
<ds:datastoreItem xmlns:ds="http://schemas.openxmlformats.org/officeDocument/2006/customXml" ds:itemID="{D5AF1E35-70A8-499D-A334-DB432550B25D}">
  <ds:schemaRefs/>
</ds:datastoreItem>
</file>

<file path=customXml/itemProps26.xml><?xml version="1.0" encoding="utf-8"?>
<ds:datastoreItem xmlns:ds="http://schemas.openxmlformats.org/officeDocument/2006/customXml" ds:itemID="{8EF46F01-485C-483F-9967-41BCB48EC94A}">
  <ds:schemaRefs/>
</ds:datastoreItem>
</file>

<file path=customXml/itemProps27.xml><?xml version="1.0" encoding="utf-8"?>
<ds:datastoreItem xmlns:ds="http://schemas.openxmlformats.org/officeDocument/2006/customXml" ds:itemID="{EC01ACC2-FA43-4988-919A-0C4B7683D101}">
  <ds:schemaRefs/>
</ds:datastoreItem>
</file>

<file path=customXml/itemProps28.xml><?xml version="1.0" encoding="utf-8"?>
<ds:datastoreItem xmlns:ds="http://schemas.openxmlformats.org/officeDocument/2006/customXml" ds:itemID="{2E4A8D1F-8097-4E05-AF91-F25053A99E8F}">
  <ds:schemaRefs/>
</ds:datastoreItem>
</file>

<file path=customXml/itemProps29.xml><?xml version="1.0" encoding="utf-8"?>
<ds:datastoreItem xmlns:ds="http://schemas.openxmlformats.org/officeDocument/2006/customXml" ds:itemID="{A6EAA762-4A31-466F-9867-1EBF5152600F}">
  <ds:schemaRefs/>
</ds:datastoreItem>
</file>

<file path=customXml/itemProps30.xml><?xml version="1.0" encoding="utf-8"?>
<ds:datastoreItem xmlns:ds="http://schemas.openxmlformats.org/officeDocument/2006/customXml" ds:itemID="{7F0024F6-FAB4-456E-884F-392EA6675C5D}">
  <ds:schemaRefs/>
</ds:datastoreItem>
</file>

<file path=customXml/itemProps31.xml><?xml version="1.0" encoding="utf-8"?>
<ds:datastoreItem xmlns:ds="http://schemas.openxmlformats.org/officeDocument/2006/customXml" ds:itemID="{08D69D44-31A1-43AF-B16C-653A96B0EF35}">
  <ds:schemaRefs/>
</ds:datastoreItem>
</file>

<file path=customXml/itemProps32.xml><?xml version="1.0" encoding="utf-8"?>
<ds:datastoreItem xmlns:ds="http://schemas.openxmlformats.org/officeDocument/2006/customXml" ds:itemID="{939B1FE5-BD38-45AF-A3B8-22373A3D1303}">
  <ds:schemaRefs/>
</ds:datastoreItem>
</file>

<file path=customXml/itemProps33.xml><?xml version="1.0" encoding="utf-8"?>
<ds:datastoreItem xmlns:ds="http://schemas.openxmlformats.org/officeDocument/2006/customXml" ds:itemID="{8169D741-B7DD-4410-B106-2D3A6AEB4BE3}">
  <ds:schemaRefs/>
</ds:datastoreItem>
</file>

<file path=customXml/itemProps34.xml><?xml version="1.0" encoding="utf-8"?>
<ds:datastoreItem xmlns:ds="http://schemas.openxmlformats.org/officeDocument/2006/customXml" ds:itemID="{765769A3-A364-43EA-BE1A-060CBE2AD0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FIRM SIZE DASHBOARD</vt:lpstr>
      <vt:lpstr>Firm size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2025-12-02T08:40:16Z</dcterms:created>
  <dcterms:modified xsi:type="dcterms:W3CDTF">2026-01-23T11:32:51Z</dcterms:modified>
</cp:coreProperties>
</file>