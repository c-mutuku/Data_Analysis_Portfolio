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dmin\Downloads\DATA ANALYTICS\EXCEL\PROJECT 1\"/>
    </mc:Choice>
  </mc:AlternateContent>
  <xr:revisionPtr revIDLastSave="0" documentId="13_ncr:1_{D095B6EE-2064-44AE-8767-42F7AB09F601}" xr6:coauthVersionLast="47" xr6:coauthVersionMax="47" xr10:uidLastSave="{00000000-0000-0000-0000-000000000000}"/>
  <bookViews>
    <workbookView xWindow="-120" yWindow="-120" windowWidth="20730" windowHeight="11040" activeTab="2" xr2:uid="{47407F78-E1FA-4D55-B206-476D56BEB718}"/>
  </bookViews>
  <sheets>
    <sheet name="FIRM SIZE DASHBOARD" sheetId="1" r:id="rId1"/>
    <sheet name="Firm size analysis" sheetId="2" r:id="rId2"/>
    <sheet name="RAW" sheetId="3" r:id="rId3"/>
  </sheets>
  <definedNames>
    <definedName name="Slicer_FirmSize">#N/A</definedName>
    <definedName name="Slicer_year">#N/A</definedName>
  </definedNames>
  <calcPr calcId="191029"/>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ll Measures_4a0bbe24-b3d2-4322-a93d-a5900eea9fce" name="All Measures" connection="Query - All Measures"/>
          <x15:modelTable id="FirmSize_8db03e95-7e8e-46df-95fa-0d6c2d483b91" name="FirmSize" connection="Query - FirmSiz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79" i="2" l="1" a="1"/>
  <c r="B79" i="2" s="1"/>
  <c r="B80" i="2" a="1"/>
  <c r="B80" i="2" s="1"/>
  <c r="B81" i="2" a="1"/>
  <c r="B81" i="2" s="1"/>
  <c r="B82" i="2" a="1"/>
  <c r="B82" i="2" s="1"/>
  <c r="B83" i="2" a="1"/>
  <c r="B83" i="2" s="1"/>
  <c r="B84" i="2" a="1"/>
  <c r="B84" i="2" s="1"/>
  <c r="B85" i="2" a="1"/>
  <c r="B85" i="2" s="1"/>
  <c r="B86" i="2" a="1"/>
  <c r="B86" i="2" s="1"/>
  <c r="B87" i="2" a="1"/>
  <c r="B87" i="2" s="1"/>
  <c r="B78" i="2" a="1"/>
  <c r="B78" i="2" s="1"/>
  <c r="B77" i="2" a="1"/>
  <c r="B77" i="2" s="1"/>
  <c r="C79" i="2" a="1"/>
  <c r="C79" i="2" s="1"/>
  <c r="C80" i="2" a="1"/>
  <c r="C80" i="2" s="1"/>
  <c r="C81" i="2" a="1"/>
  <c r="C81" i="2" s="1"/>
  <c r="C82" i="2" a="1"/>
  <c r="C82" i="2" s="1"/>
  <c r="C83" i="2" a="1"/>
  <c r="C83" i="2" s="1"/>
  <c r="C84" i="2" a="1"/>
  <c r="C84" i="2" s="1"/>
  <c r="C85" i="2" a="1"/>
  <c r="C85" i="2" s="1"/>
  <c r="C86" i="2" a="1"/>
  <c r="C86" i="2" s="1"/>
  <c r="C87" i="2" a="1"/>
  <c r="C87" i="2" s="1"/>
  <c r="C78" i="2" a="1"/>
  <c r="C78" i="2" s="1"/>
  <c r="C77" i="2" a="1"/>
  <c r="C77" i="2" s="1"/>
  <c r="A78" i="2"/>
  <c r="A79" i="2"/>
  <c r="A80" i="2"/>
  <c r="A81" i="2"/>
  <c r="A82" i="2"/>
  <c r="A83" i="2"/>
  <c r="A84" i="2"/>
  <c r="A85" i="2"/>
  <c r="A86" i="2"/>
  <c r="A87" i="2"/>
  <c r="A77" i="2"/>
  <c r="B38" i="2" l="1" a="1"/>
  <c r="B38" i="2" s="1"/>
  <c r="B39" i="2" a="1"/>
  <c r="B39" i="2" s="1"/>
  <c r="B40" i="2" a="1"/>
  <c r="B40" i="2" s="1"/>
  <c r="B41" i="2" a="1"/>
  <c r="B41" i="2" s="1"/>
  <c r="B42" i="2" a="1"/>
  <c r="B42" i="2" s="1"/>
  <c r="B43" i="2" a="1"/>
  <c r="B43" i="2" s="1"/>
  <c r="B44" i="2" a="1"/>
  <c r="B44" i="2" s="1"/>
  <c r="B45" i="2" a="1"/>
  <c r="B45" i="2" s="1"/>
  <c r="B46" i="2" a="1"/>
  <c r="B46" i="2" s="1"/>
  <c r="B37" i="2" a="1"/>
  <c r="B37" i="2" s="1"/>
  <c r="B36" i="2" a="1"/>
  <c r="B36" i="2" s="1"/>
  <c r="A37" i="2"/>
  <c r="A38" i="2"/>
  <c r="A39" i="2"/>
  <c r="A40" i="2"/>
  <c r="A41" i="2"/>
  <c r="A42" i="2"/>
  <c r="A43" i="2"/>
  <c r="A44" i="2"/>
  <c r="A45" i="2"/>
  <c r="A46" i="2"/>
  <c r="A3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057252-20FB-49B5-B484-C1A49EF82152}" name="Query - All Measures" description="Connection to the 'All Measures' query in the workbook." type="100" refreshedVersion="8" minRefreshableVersion="5">
    <extLst>
      <ext xmlns:x15="http://schemas.microsoft.com/office/spreadsheetml/2010/11/main" uri="{DE250136-89BD-433C-8126-D09CA5730AF9}">
        <x15:connection id="d87a369b-c95a-4cac-b29a-703843cb8d93">
          <x15:oledbPr connection="Provider=Microsoft.Mashup.OleDb.1;Data Source=$Workbook$;Location=&quot;All Measures&quot;;Extended Properties=&quot;&quot;">
            <x15:dbTables>
              <x15:dbTable name="All Measures"/>
            </x15:dbTables>
          </x15:oledbPr>
        </x15:connection>
      </ext>
    </extLst>
  </connection>
  <connection id="2" xr16:uid="{9140979E-749D-4F79-A10F-7D099F6B9ACC}" name="Query - FirmSize" description="Connection to the 'FirmSize' query in the workbook." type="100" refreshedVersion="8" minRefreshableVersion="5">
    <extLst>
      <ext xmlns:x15="http://schemas.microsoft.com/office/spreadsheetml/2010/11/main" uri="{DE250136-89BD-433C-8126-D09CA5730AF9}">
        <x15:connection id="57046a60-a780-4f2b-a8a8-5bc9869adb5e"/>
      </ext>
    </extLst>
  </connection>
  <connection id="3" xr16:uid="{8DE6419D-C9E5-4731-BE40-A5F8721C50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<sst xmlns="http://schemas.openxmlformats.org/spreadsheetml/2006/main" count="733" uniqueCount="65">
  <si>
    <t>Total Firms</t>
  </si>
  <si>
    <t>Average Exit Rate</t>
  </si>
  <si>
    <t>Average Entry Rate</t>
  </si>
  <si>
    <t>1 to 4</t>
  </si>
  <si>
    <t>10 to 19</t>
  </si>
  <si>
    <t>100 to 499</t>
  </si>
  <si>
    <t>1000 to 2499</t>
  </si>
  <si>
    <t>10000+</t>
  </si>
  <si>
    <t>20 to 99</t>
  </si>
  <si>
    <t>2500 to 4999</t>
  </si>
  <si>
    <t>5 to 9</t>
  </si>
  <si>
    <t>500 to 999</t>
  </si>
  <si>
    <t>5000 to 9999</t>
  </si>
  <si>
    <t>Sum of firms</t>
  </si>
  <si>
    <t>FirmSize</t>
  </si>
  <si>
    <t>Option Button</t>
  </si>
  <si>
    <t>Total Employment</t>
  </si>
  <si>
    <t>Average Survival Rate</t>
  </si>
  <si>
    <t>Average Reallocation Rate</t>
  </si>
  <si>
    <t>Sum of emp</t>
  </si>
  <si>
    <t>Average Net Job Creation Rate</t>
  </si>
  <si>
    <t>Sum of estabs</t>
  </si>
  <si>
    <t>Average of estabs_entry_rate</t>
  </si>
  <si>
    <t>Average of estabs_exit_rate</t>
  </si>
  <si>
    <t>Sum of job_creation</t>
  </si>
  <si>
    <t>Sum of job_destruction</t>
  </si>
  <si>
    <t>CheckBox Button</t>
  </si>
  <si>
    <t>Average of Death Rate</t>
  </si>
  <si>
    <t>year</t>
  </si>
  <si>
    <t>fsize</t>
  </si>
  <si>
    <t>firms</t>
  </si>
  <si>
    <t>estabs</t>
  </si>
  <si>
    <t>emp</t>
  </si>
  <si>
    <t>denom</t>
  </si>
  <si>
    <t>estabs_entry</t>
  </si>
  <si>
    <t>estabs_entry_rate</t>
  </si>
  <si>
    <t>estabs_exit</t>
  </si>
  <si>
    <t>estabs_exit_rate</t>
  </si>
  <si>
    <t>job_creation</t>
  </si>
  <si>
    <t>job_creation_births</t>
  </si>
  <si>
    <t>job_creation_continuers</t>
  </si>
  <si>
    <t>job_creation_rate_births</t>
  </si>
  <si>
    <t>job_creation_rate</t>
  </si>
  <si>
    <t>job_destruction</t>
  </si>
  <si>
    <t>job_destruction_deaths</t>
  </si>
  <si>
    <t>job_destruction_continuers</t>
  </si>
  <si>
    <t>job_destruction_rate_deaths</t>
  </si>
  <si>
    <t>job_destruction_rate</t>
  </si>
  <si>
    <t>net_job_creation</t>
  </si>
  <si>
    <t>net_job_creation_rate</t>
  </si>
  <si>
    <t>reallocation_rate</t>
  </si>
  <si>
    <t>firmdeath_firms</t>
  </si>
  <si>
    <t>firmdeath_estabs</t>
  </si>
  <si>
    <t>firmdeath_emp</t>
  </si>
  <si>
    <t>a) 1 to 4</t>
  </si>
  <si>
    <t>b) 5 to 9</t>
  </si>
  <si>
    <t>c) 10 to 19</t>
  </si>
  <si>
    <t>d) 20 to 99</t>
  </si>
  <si>
    <t>e) 100 to 499</t>
  </si>
  <si>
    <t>f) 500 to 999</t>
  </si>
  <si>
    <t>g) 1000 to 2499</t>
  </si>
  <si>
    <t>h) 2500 to 4999</t>
  </si>
  <si>
    <t>D</t>
  </si>
  <si>
    <t>i) 5000 to 9999</t>
  </si>
  <si>
    <t>j) 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</si>
</sst>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000"/>
    <numFmt numFmtId="166" formatCode="[&lt;999999]0.00,&quot; K&quot;;[&lt;999999999]0.00,,&quot; M&quot;;0.00,,,&quot; B&quot;"/>
  </numFmts>
  <fonts count="4" x14ac:knownFonts="1">
    <font>
      <sz val="11"/>
      <color theme="1"/>
      <name val="Calibri"/>
      <family val="2"/>
      <scheme val="minor"/>
    </font>
    <font>
      <sz val="11"/>
      <color rgb="FF00B050"/>
      <name val="Calibri"/>
      <family val="2"/>
      <scheme val="minor"/>
    </font>
    <font>
      <sz val="11"/>
      <name val="Calibri"/>
      <family val="2"/>
      <scheme val="minor"/>
    </font>
    <font>
      <sz val="8"/>
      <color rgb="FF000000"/>
      <name val="Segoe UI"/>
      <family val="2"/>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165" fontId="0" fillId="0" borderId="0" xfId="0" applyNumberFormat="1"/>
    <xf numFmtId="0" fontId="0" fillId="2" borderId="0" xfId="0" applyFill="1"/>
    <xf numFmtId="0" fontId="1" fillId="0" borderId="0" xfId="0" applyFont="1"/>
    <xf numFmtId="166" fontId="0" fillId="0" borderId="0" xfId="0" applyNumberFormat="1"/>
    <xf numFmtId="1" fontId="0" fillId="0" borderId="0" xfId="0" applyNumberFormat="1"/>
    <xf numFmtId="10" fontId="0" fillId="0" borderId="0" xfId="0" applyNumberFormat="1"/>
    <xf numFmtId="0" fontId="2" fillId="2" borderId="0" xfId="0" applyFont="1" applyFill="1"/>
    <xf numFmtId="1" fontId="0" fillId="2" borderId="0" xfId="0" applyNumberFormat="1" applyFill="1"/>
  </cellXfs>
  <cellStyles count="1">
    <cellStyle name="Normal" xfId="0" builtinId="0"/>
  </cellStyles>
  <dxfs count="9">
    <dxf>
      <numFmt numFmtId="164" formatCode="0.0%"/>
    </dxf>
    <dxf>
      <numFmt numFmtId="166" formatCode="[&lt;999999]0.00,&quot; K&quot;;[&lt;999999999]0.00,,&quot; M&quot;;0.00,,,&quot; B&quot;"/>
    </dxf>
    <dxf>
      <numFmt numFmtId="166" formatCode="[&lt;999999]0.00,&quot; K&quot;;[&lt;999999999]0.00,,&quot; M&quot;;0.00,,,&quot; B&quot;"/>
    </dxf>
    <dxf>
      <numFmt numFmtId="164" formatCode="0.0%"/>
    </dxf>
    <dxf>
      <numFmt numFmtId="164" formatCode="0.0%"/>
    </dxf>
    <dxf>
      <numFmt numFmtId="14" formatCode="0.00%"/>
    </dxf>
    <dxf>
      <numFmt numFmtId="164" formatCode="0.0%"/>
    </dxf>
    <dxf>
      <font>
        <b/>
        <color theme="1"/>
      </font>
      <border>
        <bottom style="thin">
          <color theme="9"/>
        </bottom>
        <vertical/>
        <horizontal/>
      </border>
    </dxf>
    <dxf>
      <font>
        <color theme="1"/>
      </font>
      <fill>
        <patternFill patternType="none">
          <fgColor auto="1"/>
          <bgColor auto="1"/>
        </patternFill>
      </fill>
      <border>
        <left style="thin">
          <color theme="0"/>
        </left>
        <right style="thin">
          <color theme="0"/>
        </right>
        <top style="thin">
          <color theme="0"/>
        </top>
        <bottom style="thin">
          <color theme="0"/>
        </bottom>
        <vertical/>
        <horizontal/>
      </border>
    </dxf>
  </dxfs>
  <tableStyles count="1" defaultTableStyle="TableStyleMedium2" defaultPivotStyle="PivotStyleLight16">
    <tableStyle name="SLICER" pivot="0" table="0" count="10" xr9:uid="{31C28577-69CA-49AF-A16B-31B117CF4345}">
      <tableStyleElement type="wholeTable" dxfId="8"/>
      <tableStyleElement type="headerRow" dxfId="7"/>
    </tableStyle>
  </tableStyles>
  <colors>
    <mruColors>
      <color rgb="FFFFFFFF"/>
      <color rgb="FFC0C0C0"/>
      <color rgb="FF618C03"/>
      <color rgb="FF95BFAC"/>
      <color rgb="FFAED911"/>
      <color rgb="FF365902"/>
      <color rgb="FF5B4373"/>
      <color rgb="FFEAF60D"/>
      <color rgb="FF1E5949"/>
      <color rgb="FFF2F2F2"/>
    </mruColors>
  </colors>
  <extLst>
    <ext xmlns:x14="http://schemas.microsoft.com/office/spreadsheetml/2009/9/main" uri="{46F421CA-312F-682f-3DD2-61675219B42D}">
      <x14:dxfs count="8">
        <dxf>
          <font>
            <color rgb="FF000000"/>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24994659260841701"/>
              <bgColor theme="9"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50" Type="http://schemas.openxmlformats.org/officeDocument/2006/relationships/customXml" Target="../customXml/item3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0.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3" Type="http://schemas.openxmlformats.org/officeDocument/2006/relationships/customXml" Target="../customXml/item34.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52" Type="http://schemas.openxmlformats.org/officeDocument/2006/relationships/customXml" Target="../customXml/item3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5.xml"/><Relationship Id="rId51" Type="http://schemas.openxmlformats.org/officeDocument/2006/relationships/customXml" Target="../customXml/item32.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226028033620527E-2"/>
          <c:y val="0.1528109968455629"/>
          <c:w val="0.95961161137496043"/>
          <c:h val="0.57417211110762501"/>
        </c:manualLayout>
      </c:layout>
      <c:barChart>
        <c:barDir val="col"/>
        <c:grouping val="clustered"/>
        <c:varyColors val="0"/>
        <c:ser>
          <c:idx val="0"/>
          <c:order val="0"/>
          <c:tx>
            <c:strRef>
              <c:f>'Firm size analysis'!$B$36</c:f>
              <c:strCache>
                <c:ptCount val="1"/>
                <c:pt idx="0">
                  <c:v>Sum of firms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'Firm size analysis'!$A$37:$A$46</c:f>
              <c:strCache>
                <c:ptCount val="10"/>
                <c:pt idx="0">
                  <c:v>1 to 4</c:v>
                </c:pt>
                <c:pt idx="1">
                  <c:v>5 to 9</c:v>
                </c:pt>
                <c:pt idx="2">
                  <c:v>10 to 19</c:v>
                </c:pt>
                <c:pt idx="3">
                  <c:v>20 to 99</c:v>
                </c:pt>
                <c:pt idx="4">
                  <c:v>100 to 499</c:v>
                </c:pt>
                <c:pt idx="5">
                  <c:v>500 to 999</c:v>
                </c:pt>
                <c:pt idx="6">
                  <c:v>1000 to 2499</c:v>
                </c:pt>
                <c:pt idx="7">
                  <c:v>2500 to 4999</c:v>
                </c:pt>
                <c:pt idx="8">
                  <c:v>5000 to 9999</c:v>
                </c:pt>
                <c:pt idx="9">
                  <c:v>10000+</c:v>
                </c:pt>
              </c:strCache>
            </c:strRef>
          </c:cat>
          <c:val>
            <c:numRef>
              <c:f>'Firm size analysis'!$B$37:$B$46</c:f>
              <c:numCache>
                <c:formatCode>[&lt;999999]0.00," K";[&lt;999999999]0.00,," M";0.00,,," B"</c:formatCode>
                <c:ptCount val="10"/>
                <c:pt idx="0">
                  <c:v>49257606</c:v>
                </c:pt>
                <c:pt idx="1">
                  <c:v>15253112</c:v>
                </c:pt>
                <c:pt idx="2">
                  <c:v>9453653</c:v>
                </c:pt>
                <c:pt idx="3">
                  <c:v>8073452</c:v>
                </c:pt>
                <c:pt idx="4">
                  <c:v>1404634</c:v>
                </c:pt>
                <c:pt idx="5">
                  <c:v>168240</c:v>
                </c:pt>
                <c:pt idx="6">
                  <c:v>103620</c:v>
                </c:pt>
                <c:pt idx="7">
                  <c:v>40256</c:v>
                </c:pt>
                <c:pt idx="8">
                  <c:v>22409</c:v>
                </c:pt>
                <c:pt idx="9">
                  <c:v>20208</c:v>
                </c:pt>
              </c:numCache>
            </c:numRef>
          </c:val>
          <c:extLst>
            <c:ext xmlns:c16="http://schemas.microsoft.com/office/drawing/2014/chart" uri="{C3380CC4-5D6E-409C-BE32-E72D297353CC}">
              <c16:uniqueId val="{00000000-09C2-4FC8-BEDB-988D0376083F}"/>
            </c:ext>
          </c:extLst>
        </c:ser>
        <c:dLbls>
          <c:showLegendKey val="0"/>
          <c:showVal val="0"/>
          <c:showCatName val="0"/>
          <c:showSerName val="0"/>
          <c:showPercent val="0"/>
          <c:showBubbleSize val="0"/>
        </c:dLbls>
        <c:gapWidth val="131"/>
        <c:overlap val="-27"/>
        <c:axId val="1171491743"/>
        <c:axId val="1171492159"/>
      </c:barChart>
      <c:catAx>
        <c:axId val="117149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492159"/>
        <c:crosses val="autoZero"/>
        <c:auto val="1"/>
        <c:lblAlgn val="ctr"/>
        <c:lblOffset val="100"/>
        <c:noMultiLvlLbl val="0"/>
      </c:catAx>
      <c:valAx>
        <c:axId val="1171492159"/>
        <c:scaling>
          <c:orientation val="minMax"/>
        </c:scaling>
        <c:delete val="1"/>
        <c:axPos val="l"/>
        <c:numFmt formatCode="[&lt;999999]0.00,&quot; K&quot;;[&lt;999999999]0.00,,&quot; M&quot;;0.00,,,&quot; B&quot;" sourceLinked="1"/>
        <c:majorTickMark val="none"/>
        <c:minorTickMark val="none"/>
        <c:tickLblPos val="nextTo"/>
        <c:crossAx val="117149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[FIRMS SIZE.xlsx]Firm size analysis!PivotTable1</c:name>
    <c:fmtId val="13"/>
  </c:pivotSource>
  <c:chart>
    <c:autoTitleDeleted val="0"/>
    <c:pivotFmts>
      <c:pivotFmt>
        <c:idx val="0"/>
        <c:spPr>
          <a:solidFill>
            <a:schemeClr val="accent1"/>
          </a:solidFill>
          <a:ln w="28575" cap="rnd">
            <a:solidFill>
              <a:schemeClr val="accent6">
                <a:lumMod val="50000"/>
              </a:schemeClr>
            </a:solidFill>
            <a:round/>
          </a:ln>
          <a:effectLst/>
        </c:spPr>
        <c:marker>
          <c:symbol val="none"/>
        </c:marker>
      </c:pivotFmt>
      <c:pivotFmt>
        <c:idx val="1"/>
        <c:spPr>
          <a:solidFill>
            <a:schemeClr val="accent1"/>
          </a:solidFill>
          <a:ln w="28575" cap="rnd">
            <a:solidFill>
              <a:schemeClr val="accent4">
                <a:lumMod val="60000"/>
                <a:lumOff val="40000"/>
              </a:schemeClr>
            </a:solidFill>
            <a:round/>
          </a:ln>
          <a:effectLst/>
        </c:spPr>
        <c:marker>
          <c:symbol val="none"/>
        </c:marker>
      </c:pivotFmt>
      <c:pivotFmt>
        <c:idx val="2"/>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3937007874016E-2"/>
          <c:y val="0.10272376065351381"/>
          <c:w val="0.82064752082173142"/>
          <c:h val="0.48137072753546262"/>
        </c:manualLayout>
      </c:layout>
      <c:lineChart>
        <c:grouping val="standard"/>
        <c:varyColors val="0"/>
        <c:ser>
          <c:idx val="0"/>
          <c:order val="0"/>
          <c:tx>
            <c:strRef>
              <c:f>'Firm size analysis'!$B$49</c:f>
              <c:strCache>
                <c:ptCount val="1"/>
                <c:pt idx="0">
                  <c:v>Average of estabs_entry_rate</c:v>
                </c:pt>
              </c:strCache>
            </c:strRef>
          </c:tx>
          <c:spPr>
            <a:ln w="28575" cap="rnd">
              <a:solidFill>
                <a:schemeClr val="accent6">
                  <a:lumMod val="50000"/>
                </a:schemeClr>
              </a:solidFill>
              <a:round/>
            </a:ln>
            <a:effectLst/>
          </c:spPr>
          <c:marker>
            <c:symbol val="none"/>
          </c:marker>
          <c:cat>
            <c:strRef>
              <c:f>'Firm size analysis'!$A$50:$A$59</c:f>
              <c:strCache>
                <c:ptCount val="10"/>
                <c:pt idx="0">
                  <c:v>1 to 4</c:v>
                </c:pt>
                <c:pt idx="1">
                  <c:v>5 to 9</c:v>
                </c:pt>
                <c:pt idx="2">
                  <c:v>10 to 19</c:v>
                </c:pt>
                <c:pt idx="3">
                  <c:v>20 to 99</c:v>
                </c:pt>
                <c:pt idx="4">
                  <c:v>100 to 499</c:v>
                </c:pt>
                <c:pt idx="5">
                  <c:v>500 to 999</c:v>
                </c:pt>
                <c:pt idx="6">
                  <c:v>1000 to 2499</c:v>
                </c:pt>
                <c:pt idx="7">
                  <c:v>2500 to 4999</c:v>
                </c:pt>
                <c:pt idx="8">
                  <c:v>5000 to 9999</c:v>
                </c:pt>
                <c:pt idx="9">
                  <c:v>10000+</c:v>
                </c:pt>
              </c:strCache>
            </c:strRef>
          </c:cat>
          <c:val>
            <c:numRef>
              <c:f>'Firm size analysis'!$B$50:$B$59</c:f>
              <c:numCache>
                <c:formatCode>0.0%</c:formatCode>
                <c:ptCount val="10"/>
                <c:pt idx="0">
                  <c:v>0.167778125</c:v>
                </c:pt>
                <c:pt idx="1">
                  <c:v>3.6190624999999997E-2</c:v>
                </c:pt>
                <c:pt idx="2">
                  <c:v>3.0066874999999993E-2</c:v>
                </c:pt>
                <c:pt idx="3">
                  <c:v>3.5050624999999995E-2</c:v>
                </c:pt>
                <c:pt idx="4">
                  <c:v>5.4476874999999994E-2</c:v>
                </c:pt>
                <c:pt idx="5">
                  <c:v>6.3363124999999992E-2</c:v>
                </c:pt>
                <c:pt idx="6">
                  <c:v>7.2553124999999996E-2</c:v>
                </c:pt>
                <c:pt idx="7">
                  <c:v>6.7091875000000009E-2</c:v>
                </c:pt>
                <c:pt idx="8">
                  <c:v>8.1176874999999996E-2</c:v>
                </c:pt>
                <c:pt idx="9">
                  <c:v>6.6525625000000005E-2</c:v>
                </c:pt>
              </c:numCache>
            </c:numRef>
          </c:val>
          <c:smooth val="0"/>
          <c:extLst>
            <c:ext xmlns:c16="http://schemas.microsoft.com/office/drawing/2014/chart" uri="{C3380CC4-5D6E-409C-BE32-E72D297353CC}">
              <c16:uniqueId val="{00000000-DEC5-4DB4-BDC9-6B0B9F99BE5B}"/>
            </c:ext>
          </c:extLst>
        </c:ser>
        <c:ser>
          <c:idx val="1"/>
          <c:order val="1"/>
          <c:tx>
            <c:strRef>
              <c:f>'Firm size analysis'!$C$49</c:f>
              <c:strCache>
                <c:ptCount val="1"/>
                <c:pt idx="0">
                  <c:v>Average of estabs_exit_rate</c:v>
                </c:pt>
              </c:strCache>
            </c:strRef>
          </c:tx>
          <c:spPr>
            <a:ln w="28575" cap="rnd">
              <a:solidFill>
                <a:schemeClr val="bg1">
                  <a:lumMod val="65000"/>
                </a:schemeClr>
              </a:solidFill>
              <a:round/>
            </a:ln>
            <a:effectLst/>
          </c:spPr>
          <c:marker>
            <c:symbol val="none"/>
          </c:marker>
          <c:cat>
            <c:strRef>
              <c:f>'Firm size analysis'!$A$50:$A$59</c:f>
              <c:strCache>
                <c:ptCount val="10"/>
                <c:pt idx="0">
                  <c:v>1 to 4</c:v>
                </c:pt>
                <c:pt idx="1">
                  <c:v>5 to 9</c:v>
                </c:pt>
                <c:pt idx="2">
                  <c:v>10 to 19</c:v>
                </c:pt>
                <c:pt idx="3">
                  <c:v>20 to 99</c:v>
                </c:pt>
                <c:pt idx="4">
                  <c:v>100 to 499</c:v>
                </c:pt>
                <c:pt idx="5">
                  <c:v>500 to 999</c:v>
                </c:pt>
                <c:pt idx="6">
                  <c:v>1000 to 2499</c:v>
                </c:pt>
                <c:pt idx="7">
                  <c:v>2500 to 4999</c:v>
                </c:pt>
                <c:pt idx="8">
                  <c:v>5000 to 9999</c:v>
                </c:pt>
                <c:pt idx="9">
                  <c:v>10000+</c:v>
                </c:pt>
              </c:strCache>
            </c:strRef>
          </c:cat>
          <c:val>
            <c:numRef>
              <c:f>'Firm size analysis'!$C$50:$C$59</c:f>
              <c:numCache>
                <c:formatCode>0.0%</c:formatCode>
                <c:ptCount val="10"/>
                <c:pt idx="0">
                  <c:v>0.16116750000000002</c:v>
                </c:pt>
                <c:pt idx="1">
                  <c:v>3.5037499999999999E-2</c:v>
                </c:pt>
                <c:pt idx="2">
                  <c:v>2.851625E-2</c:v>
                </c:pt>
                <c:pt idx="3">
                  <c:v>2.8038750000000001E-2</c:v>
                </c:pt>
                <c:pt idx="4">
                  <c:v>3.9218750000000004E-2</c:v>
                </c:pt>
                <c:pt idx="5">
                  <c:v>4.7923749999999994E-2</c:v>
                </c:pt>
                <c:pt idx="6">
                  <c:v>5.7895624999999999E-2</c:v>
                </c:pt>
                <c:pt idx="7">
                  <c:v>6.0503124999999998E-2</c:v>
                </c:pt>
                <c:pt idx="8">
                  <c:v>6.2355624999999998E-2</c:v>
                </c:pt>
                <c:pt idx="9">
                  <c:v>7.4511875000000005E-2</c:v>
                </c:pt>
              </c:numCache>
            </c:numRef>
          </c:val>
          <c:smooth val="0"/>
          <c:extLst>
            <c:ext xmlns:c16="http://schemas.microsoft.com/office/drawing/2014/chart" uri="{C3380CC4-5D6E-409C-BE32-E72D297353CC}">
              <c16:uniqueId val="{00000001-DEC5-4DB4-BDC9-6B0B9F99BE5B}"/>
            </c:ext>
          </c:extLst>
        </c:ser>
        <c:dLbls>
          <c:showLegendKey val="0"/>
          <c:showVal val="0"/>
          <c:showCatName val="0"/>
          <c:showSerName val="0"/>
          <c:showPercent val="0"/>
          <c:showBubbleSize val="0"/>
        </c:dLbls>
        <c:smooth val="0"/>
        <c:axId val="2044243359"/>
        <c:axId val="2044242111"/>
      </c:lineChart>
      <c:catAx>
        <c:axId val="2044243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242111"/>
        <c:crosses val="autoZero"/>
        <c:auto val="1"/>
        <c:lblAlgn val="ctr"/>
        <c:lblOffset val="100"/>
        <c:noMultiLvlLbl val="0"/>
      </c:catAx>
      <c:valAx>
        <c:axId val="2044242111"/>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243359"/>
        <c:crosses val="autoZero"/>
        <c:crossBetween val="between"/>
      </c:valAx>
      <c:spPr>
        <a:noFill/>
        <a:ln>
          <a:noFill/>
        </a:ln>
        <a:effectLst/>
      </c:spPr>
    </c:plotArea>
    <c:legend>
      <c:legendPos val="tr"/>
      <c:layout>
        <c:manualLayout>
          <c:xMode val="edge"/>
          <c:yMode val="edge"/>
          <c:x val="0.66623725918019749"/>
          <c:y val="7.8431416582546112E-2"/>
          <c:w val="0.30258529554092162"/>
          <c:h val="0.25281075820578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312501471222247"/>
          <c:y val="5.1870180477675838E-2"/>
          <c:w val="0.79187501592144627"/>
          <c:h val="0.70287311541317055"/>
        </c:manualLayout>
      </c:layout>
      <c:barChart>
        <c:barDir val="bar"/>
        <c:grouping val="stacked"/>
        <c:varyColors val="0"/>
        <c:ser>
          <c:idx val="0"/>
          <c:order val="0"/>
          <c:tx>
            <c:strRef>
              <c:f>'Firm size analysis'!$B$77</c:f>
              <c:strCache>
                <c:ptCount val="1"/>
                <c:pt idx="0">
                  <c:v>Sum of job_creation</c:v>
                </c:pt>
              </c:strCache>
            </c:strRef>
          </c:tx>
          <c:spPr>
            <a:solidFill>
              <a:schemeClr val="accent6">
                <a:lumMod val="75000"/>
              </a:schemeClr>
            </a:solidFill>
            <a:ln>
              <a:noFill/>
            </a:ln>
            <a:effectLst/>
          </c:spPr>
          <c:invertIfNegative val="0"/>
          <c:cat>
            <c:strRef>
              <c:f>'Firm size analysis'!$A$78:$A$87</c:f>
              <c:strCache>
                <c:ptCount val="10"/>
                <c:pt idx="0">
                  <c:v>1 to 4</c:v>
                </c:pt>
                <c:pt idx="1">
                  <c:v>5 to 9</c:v>
                </c:pt>
                <c:pt idx="2">
                  <c:v>10 to 19</c:v>
                </c:pt>
                <c:pt idx="3">
                  <c:v>20 to 99</c:v>
                </c:pt>
                <c:pt idx="4">
                  <c:v>100 to 499</c:v>
                </c:pt>
                <c:pt idx="5">
                  <c:v>500 to 999</c:v>
                </c:pt>
                <c:pt idx="6">
                  <c:v>1000 to 2499</c:v>
                </c:pt>
                <c:pt idx="7">
                  <c:v>2500 to 4999</c:v>
                </c:pt>
                <c:pt idx="8">
                  <c:v>5000 to 9999</c:v>
                </c:pt>
                <c:pt idx="9">
                  <c:v>10000+</c:v>
                </c:pt>
              </c:strCache>
            </c:strRef>
          </c:cat>
          <c:val>
            <c:numRef>
              <c:f>'Firm size analysis'!$B$78:$B$87</c:f>
              <c:numCache>
                <c:formatCode>[&lt;999999]0.00," K";[&lt;999999999]0.00,," M";0.00,,," B"</c:formatCode>
                <c:ptCount val="10"/>
                <c:pt idx="0">
                  <c:v>29788273</c:v>
                </c:pt>
                <c:pt idx="1">
                  <c:v>18988140</c:v>
                </c:pt>
                <c:pt idx="2">
                  <c:v>20143447</c:v>
                </c:pt>
                <c:pt idx="3">
                  <c:v>42359205</c:v>
                </c:pt>
                <c:pt idx="4">
                  <c:v>33465329</c:v>
                </c:pt>
                <c:pt idx="5">
                  <c:v>13154434</c:v>
                </c:pt>
                <c:pt idx="6">
                  <c:v>16490307</c:v>
                </c:pt>
                <c:pt idx="7">
                  <c:v>12457689</c:v>
                </c:pt>
                <c:pt idx="8">
                  <c:v>13020674</c:v>
                </c:pt>
                <c:pt idx="9">
                  <c:v>58164432</c:v>
                </c:pt>
              </c:numCache>
            </c:numRef>
          </c:val>
          <c:extLst>
            <c:ext xmlns:c16="http://schemas.microsoft.com/office/drawing/2014/chart" uri="{C3380CC4-5D6E-409C-BE32-E72D297353CC}">
              <c16:uniqueId val="{00000000-5296-445B-A9B1-974C823B6853}"/>
            </c:ext>
          </c:extLst>
        </c:ser>
        <c:ser>
          <c:idx val="1"/>
          <c:order val="1"/>
          <c:tx>
            <c:strRef>
              <c:f>'Firm size analysis'!$C$77</c:f>
              <c:strCache>
                <c:ptCount val="1"/>
                <c:pt idx="0">
                  <c:v> </c:v>
                </c:pt>
              </c:strCache>
            </c:strRef>
          </c:tx>
          <c:spPr>
            <a:solidFill>
              <a:schemeClr val="bg1">
                <a:lumMod val="50000"/>
              </a:schemeClr>
            </a:solidFill>
            <a:ln>
              <a:noFill/>
            </a:ln>
            <a:effectLst/>
          </c:spPr>
          <c:invertIfNegative val="0"/>
          <c:cat>
            <c:strRef>
              <c:f>'Firm size analysis'!$A$78:$A$87</c:f>
              <c:strCache>
                <c:ptCount val="10"/>
                <c:pt idx="0">
                  <c:v>1 to 4</c:v>
                </c:pt>
                <c:pt idx="1">
                  <c:v>5 to 9</c:v>
                </c:pt>
                <c:pt idx="2">
                  <c:v>10 to 19</c:v>
                </c:pt>
                <c:pt idx="3">
                  <c:v>20 to 99</c:v>
                </c:pt>
                <c:pt idx="4">
                  <c:v>100 to 499</c:v>
                </c:pt>
                <c:pt idx="5">
                  <c:v>500 to 999</c:v>
                </c:pt>
                <c:pt idx="6">
                  <c:v>1000 to 2499</c:v>
                </c:pt>
                <c:pt idx="7">
                  <c:v>2500 to 4999</c:v>
                </c:pt>
                <c:pt idx="8">
                  <c:v>5000 to 9999</c:v>
                </c:pt>
                <c:pt idx="9">
                  <c:v>10000+</c:v>
                </c:pt>
              </c:strCache>
            </c:strRef>
          </c:cat>
          <c:val>
            <c:numRef>
              <c:f>'Firm size analysis'!$C$78:$C$87</c:f>
              <c:numCache>
                <c:formatCode>[&lt;999999]0.00," K";[&lt;999999999]0.00,," M";0.00,,," B"</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5296-445B-A9B1-974C823B6853}"/>
            </c:ext>
          </c:extLst>
        </c:ser>
        <c:dLbls>
          <c:showLegendKey val="0"/>
          <c:showVal val="0"/>
          <c:showCatName val="0"/>
          <c:showSerName val="0"/>
          <c:showPercent val="0"/>
          <c:showBubbleSize val="0"/>
        </c:dLbls>
        <c:gapWidth val="150"/>
        <c:overlap val="100"/>
        <c:axId val="942880863"/>
        <c:axId val="942879615"/>
      </c:barChart>
      <c:catAx>
        <c:axId val="94288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79615"/>
        <c:crosses val="autoZero"/>
        <c:auto val="1"/>
        <c:lblAlgn val="ctr"/>
        <c:lblOffset val="100"/>
        <c:noMultiLvlLbl val="0"/>
      </c:catAx>
      <c:valAx>
        <c:axId val="942879615"/>
        <c:scaling>
          <c:orientation val="minMax"/>
        </c:scaling>
        <c:delete val="0"/>
        <c:axPos val="b"/>
        <c:numFmt formatCode="[&lt;999999]0.00,&quot; K&quot;;[&lt;999999999]0.00,,&quot; M&quot;;0.00,,,&quot; 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80863"/>
        <c:crosses val="autoZero"/>
        <c:crossBetween val="between"/>
      </c:valAx>
      <c:spPr>
        <a:noFill/>
        <a:ln>
          <a:noFill/>
        </a:ln>
        <a:effectLst/>
      </c:spPr>
    </c:plotArea>
    <c:legend>
      <c:legendPos val="b"/>
      <c:layout>
        <c:manualLayout>
          <c:xMode val="edge"/>
          <c:yMode val="edge"/>
          <c:x val="0.27538974894257412"/>
          <c:y val="0.91089044689908205"/>
          <c:w val="0.44103002647716355"/>
          <c:h val="8.91095531009179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[FIRMS SIZE.xlsx]Firm size analysis!PivotTable3</c:name>
    <c:fmtId val="6"/>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1113976379512"/>
          <c:y val="0.10795280608395186"/>
          <c:w val="0.81917724945490789"/>
          <c:h val="0.78464843861160494"/>
        </c:manualLayout>
      </c:layout>
      <c:barChart>
        <c:barDir val="bar"/>
        <c:grouping val="clustered"/>
        <c:varyColors val="0"/>
        <c:ser>
          <c:idx val="0"/>
          <c:order val="0"/>
          <c:tx>
            <c:strRef>
              <c:f>'Firm size analysis'!$B$90</c:f>
              <c:strCache>
                <c:ptCount val="1"/>
                <c:pt idx="0">
                  <c:v>Total</c:v>
                </c:pt>
              </c:strCache>
            </c:strRef>
          </c:tx>
          <c:spPr>
            <a:solidFill>
              <a:schemeClr val="accent6">
                <a:lumMod val="50000"/>
              </a:schemeClr>
            </a:solidFill>
            <a:ln>
              <a:noFill/>
            </a:ln>
            <a:effectLst/>
          </c:spPr>
          <c:invertIfNegative val="0"/>
          <c:cat>
            <c:strRef>
              <c:f>'Firm size analysis'!$A$91:$A$100</c:f>
              <c:strCache>
                <c:ptCount val="10"/>
                <c:pt idx="0">
                  <c:v>1 to 4</c:v>
                </c:pt>
                <c:pt idx="1">
                  <c:v>5 to 9</c:v>
                </c:pt>
                <c:pt idx="2">
                  <c:v>10 to 19</c:v>
                </c:pt>
                <c:pt idx="3">
                  <c:v>20 to 99</c:v>
                </c:pt>
                <c:pt idx="4">
                  <c:v>100 to 499</c:v>
                </c:pt>
                <c:pt idx="5">
                  <c:v>500 to 999</c:v>
                </c:pt>
                <c:pt idx="6">
                  <c:v>1000 to 2499</c:v>
                </c:pt>
                <c:pt idx="7">
                  <c:v>2500 to 4999</c:v>
                </c:pt>
                <c:pt idx="8">
                  <c:v>5000 to 9999</c:v>
                </c:pt>
                <c:pt idx="9">
                  <c:v>10000+</c:v>
                </c:pt>
              </c:strCache>
            </c:strRef>
          </c:cat>
          <c:val>
            <c:numRef>
              <c:f>'Firm size analysis'!$B$91:$B$100</c:f>
              <c:numCache>
                <c:formatCode>0.00%</c:formatCode>
                <c:ptCount val="10"/>
                <c:pt idx="0">
                  <c:v>0.12249580420006745</c:v>
                </c:pt>
                <c:pt idx="1">
                  <c:v>2.8301066145246308E-2</c:v>
                </c:pt>
                <c:pt idx="2">
                  <c:v>2.0784284995498364E-2</c:v>
                </c:pt>
                <c:pt idx="3">
                  <c:v>1.3943726623624988E-2</c:v>
                </c:pt>
                <c:pt idx="4">
                  <c:v>6.7079693490463208E-3</c:v>
                </c:pt>
                <c:pt idx="5">
                  <c:v>2.7572533156925774E-3</c:v>
                </c:pt>
                <c:pt idx="6">
                  <c:v>1.9694696330354242E-3</c:v>
                </c:pt>
                <c:pt idx="7">
                  <c:v>1.6620249663163048E-3</c:v>
                </c:pt>
                <c:pt idx="8">
                  <c:v>3.3517680576503989E-4</c:v>
                </c:pt>
                <c:pt idx="9">
                  <c:v>0</c:v>
                </c:pt>
              </c:numCache>
            </c:numRef>
          </c:val>
          <c:extLst>
            <c:ext xmlns:c16="http://schemas.microsoft.com/office/drawing/2014/chart" uri="{C3380CC4-5D6E-409C-BE32-E72D297353CC}">
              <c16:uniqueId val="{00000000-C4DD-4D93-B138-60C47F6F52E4}"/>
            </c:ext>
          </c:extLst>
        </c:ser>
        <c:dLbls>
          <c:showLegendKey val="0"/>
          <c:showVal val="0"/>
          <c:showCatName val="0"/>
          <c:showSerName val="0"/>
          <c:showPercent val="0"/>
          <c:showBubbleSize val="0"/>
        </c:dLbls>
        <c:gapWidth val="182"/>
        <c:axId val="944138063"/>
        <c:axId val="944129327"/>
      </c:barChart>
      <c:catAx>
        <c:axId val="94413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129327"/>
        <c:crosses val="autoZero"/>
        <c:auto val="1"/>
        <c:lblAlgn val="ctr"/>
        <c:lblOffset val="100"/>
        <c:noMultiLvlLbl val="0"/>
      </c:catAx>
      <c:valAx>
        <c:axId val="94412932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13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Firm size analysis'!$B$34"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CheckBox" checked="Checked" fmlaLink="'Firm size analysis'!$B$74" lockText="1" noThreeD="1"/>
</file>

<file path=xl/ctrlProps/ctrlProp5.xml><?xml version="1.0" encoding="utf-8"?>
<formControlPr xmlns="http://schemas.microsoft.com/office/spreadsheetml/2009/9/main" objectType="CheckBox" fmlaLink="'Firm size analysis'!$C$74"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281206</xdr:colOff>
      <xdr:row>23</xdr:row>
      <xdr:rowOff>163472</xdr:rowOff>
    </xdr:from>
    <xdr:to>
      <xdr:col>10</xdr:col>
      <xdr:colOff>265813</xdr:colOff>
      <xdr:row>37</xdr:row>
      <xdr:rowOff>189272</xdr:rowOff>
    </xdr:to>
    <xdr:sp macro="" textlink="">
      <xdr:nvSpPr>
        <xdr:cNvPr id="65" name="Rectangle: Rounded Corners 64">
          <a:extLst>
            <a:ext uri="{FF2B5EF4-FFF2-40B4-BE49-F238E27FC236}">
              <a16:creationId xmlns:a16="http://schemas.microsoft.com/office/drawing/2014/main" id="{00000000-0008-0000-0000-000041000000}"/>
            </a:ext>
          </a:extLst>
        </xdr:cNvPr>
        <xdr:cNvSpPr/>
      </xdr:nvSpPr>
      <xdr:spPr>
        <a:xfrm>
          <a:off x="6634600" y="4544972"/>
          <a:ext cx="6041401" cy="2692800"/>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5</xdr:col>
      <xdr:colOff>314323</xdr:colOff>
      <xdr:row>12</xdr:row>
      <xdr:rowOff>153455</xdr:rowOff>
    </xdr:from>
    <xdr:to>
      <xdr:col>10</xdr:col>
      <xdr:colOff>252412</xdr:colOff>
      <xdr:row>23</xdr:row>
      <xdr:rowOff>109955</xdr:rowOff>
    </xdr:to>
    <xdr:sp macro="" textlink="">
      <xdr:nvSpPr>
        <xdr:cNvPr id="48" name="Rectangle: Rounded Corners 47">
          <a:extLst>
            <a:ext uri="{FF2B5EF4-FFF2-40B4-BE49-F238E27FC236}">
              <a16:creationId xmlns:a16="http://schemas.microsoft.com/office/drawing/2014/main" id="{00000000-0008-0000-0000-000030000000}"/>
            </a:ext>
          </a:extLst>
        </xdr:cNvPr>
        <xdr:cNvSpPr/>
      </xdr:nvSpPr>
      <xdr:spPr>
        <a:xfrm>
          <a:off x="6714063" y="2439455"/>
          <a:ext cx="5961594" cy="2052000"/>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2</xdr:col>
      <xdr:colOff>481012</xdr:colOff>
      <xdr:row>0</xdr:row>
      <xdr:rowOff>47627</xdr:rowOff>
    </xdr:from>
    <xdr:to>
      <xdr:col>6</xdr:col>
      <xdr:colOff>435264</xdr:colOff>
      <xdr:row>3</xdr:row>
      <xdr:rowOff>138527</xdr:rowOff>
    </xdr:to>
    <xdr:sp macro="" textlink="">
      <xdr:nvSpPr>
        <xdr:cNvPr id="23" name="Rectangle: Rounded Corners 22">
          <a:extLst>
            <a:ext uri="{FF2B5EF4-FFF2-40B4-BE49-F238E27FC236}">
              <a16:creationId xmlns:a16="http://schemas.microsoft.com/office/drawing/2014/main" id="{00000000-0008-0000-0000-000017000000}"/>
            </a:ext>
          </a:extLst>
        </xdr:cNvPr>
        <xdr:cNvSpPr/>
      </xdr:nvSpPr>
      <xdr:spPr>
        <a:xfrm>
          <a:off x="3400424" y="47627"/>
          <a:ext cx="4785304" cy="662400"/>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0</xdr:col>
      <xdr:colOff>33336</xdr:colOff>
      <xdr:row>3</xdr:row>
      <xdr:rowOff>190497</xdr:rowOff>
    </xdr:from>
    <xdr:to>
      <xdr:col>10</xdr:col>
      <xdr:colOff>228600</xdr:colOff>
      <xdr:row>12</xdr:row>
      <xdr:rowOff>85722</xdr:rowOff>
    </xdr:to>
    <xdr:sp macro="" textlink="">
      <xdr:nvSpPr>
        <xdr:cNvPr id="73" name="Rectangle: Rounded Corners 72">
          <a:extLst>
            <a:ext uri="{FF2B5EF4-FFF2-40B4-BE49-F238E27FC236}">
              <a16:creationId xmlns:a16="http://schemas.microsoft.com/office/drawing/2014/main" id="{00000000-0008-0000-0000-000049000000}"/>
            </a:ext>
          </a:extLst>
        </xdr:cNvPr>
        <xdr:cNvSpPr/>
      </xdr:nvSpPr>
      <xdr:spPr>
        <a:xfrm>
          <a:off x="66672" y="761997"/>
          <a:ext cx="12561361" cy="1609725"/>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2</xdr:col>
      <xdr:colOff>490537</xdr:colOff>
      <xdr:row>0</xdr:row>
      <xdr:rowOff>161924</xdr:rowOff>
    </xdr:from>
    <xdr:to>
      <xdr:col>3</xdr:col>
      <xdr:colOff>223836</xdr:colOff>
      <xdr:row>2</xdr:row>
      <xdr:rowOff>152399</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3419474" y="161924"/>
          <a:ext cx="68579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baseline="0"/>
            <a:t>Firm Size </a:t>
          </a:r>
        </a:p>
        <a:p>
          <a:endParaRPr lang="en-US" sz="1050" b="1"/>
        </a:p>
      </xdr:txBody>
    </xdr:sp>
    <xdr:clientData/>
  </xdr:twoCellAnchor>
  <xdr:twoCellAnchor>
    <xdr:from>
      <xdr:col>4</xdr:col>
      <xdr:colOff>385609</xdr:colOff>
      <xdr:row>5</xdr:row>
      <xdr:rowOff>28572</xdr:rowOff>
    </xdr:from>
    <xdr:to>
      <xdr:col>5</xdr:col>
      <xdr:colOff>496009</xdr:colOff>
      <xdr:row>11</xdr:row>
      <xdr:rowOff>145572</xdr:rowOff>
    </xdr:to>
    <xdr:sp macro="" textlink="">
      <xdr:nvSpPr>
        <xdr:cNvPr id="32" name="Rectangle: Rounded Corners 31">
          <a:extLst>
            <a:ext uri="{FF2B5EF4-FFF2-40B4-BE49-F238E27FC236}">
              <a16:creationId xmlns:a16="http://schemas.microsoft.com/office/drawing/2014/main" id="{00000000-0008-0000-0000-000020000000}"/>
            </a:ext>
          </a:extLst>
        </xdr:cNvPr>
        <xdr:cNvSpPr/>
      </xdr:nvSpPr>
      <xdr:spPr>
        <a:xfrm>
          <a:off x="5628968" y="981072"/>
          <a:ext cx="1435238" cy="1260000"/>
        </a:xfrm>
        <a:prstGeom prst="roundRect">
          <a:avLst>
            <a:gd name="adj" fmla="val 6108"/>
          </a:avLst>
        </a:prstGeom>
        <a:solidFill>
          <a:srgbClr val="95BFAC">
            <a:alpha val="85000"/>
          </a:srgbClr>
        </a:solidFill>
        <a:ln>
          <a:noFill/>
        </a:ln>
        <a:effectLst>
          <a:outerShdw blurRad="38100" sx="102000" sy="102000" algn="ctr" rotWithShape="0">
            <a:prstClr val="black">
              <a:alpha val="5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1</xdr:col>
      <xdr:colOff>383312</xdr:colOff>
      <xdr:row>5</xdr:row>
      <xdr:rowOff>28572</xdr:rowOff>
    </xdr:from>
    <xdr:to>
      <xdr:col>2</xdr:col>
      <xdr:colOff>493712</xdr:colOff>
      <xdr:row>11</xdr:row>
      <xdr:rowOff>145572</xdr:rowOff>
    </xdr:to>
    <xdr:sp macro="" textlink="">
      <xdr:nvSpPr>
        <xdr:cNvPr id="33" name="Rectangle: Rounded Corners 32">
          <a:extLst>
            <a:ext uri="{FF2B5EF4-FFF2-40B4-BE49-F238E27FC236}">
              <a16:creationId xmlns:a16="http://schemas.microsoft.com/office/drawing/2014/main" id="{00000000-0008-0000-0000-000021000000}"/>
            </a:ext>
          </a:extLst>
        </xdr:cNvPr>
        <xdr:cNvSpPr/>
      </xdr:nvSpPr>
      <xdr:spPr>
        <a:xfrm>
          <a:off x="1981062" y="981072"/>
          <a:ext cx="1435237" cy="1260000"/>
        </a:xfrm>
        <a:prstGeom prst="roundRect">
          <a:avLst>
            <a:gd name="adj" fmla="val 6108"/>
          </a:avLst>
        </a:prstGeom>
        <a:solidFill>
          <a:srgbClr val="95BFAC">
            <a:alpha val="85000"/>
          </a:srgbClr>
        </a:solidFill>
        <a:ln>
          <a:noFill/>
        </a:ln>
        <a:effectLst>
          <a:outerShdw blurRad="38100" sx="102000" sy="102000" algn="ctr" rotWithShape="0">
            <a:prstClr val="black">
              <a:alpha val="5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3</xdr:col>
      <xdr:colOff>79661</xdr:colOff>
      <xdr:row>5</xdr:row>
      <xdr:rowOff>28572</xdr:rowOff>
    </xdr:from>
    <xdr:to>
      <xdr:col>4</xdr:col>
      <xdr:colOff>190061</xdr:colOff>
      <xdr:row>11</xdr:row>
      <xdr:rowOff>145572</xdr:rowOff>
    </xdr:to>
    <xdr:sp macro="" textlink="">
      <xdr:nvSpPr>
        <xdr:cNvPr id="34" name="Rectangle: Rounded Corners 33">
          <a:extLst>
            <a:ext uri="{FF2B5EF4-FFF2-40B4-BE49-F238E27FC236}">
              <a16:creationId xmlns:a16="http://schemas.microsoft.com/office/drawing/2014/main" id="{00000000-0008-0000-0000-000022000000}"/>
            </a:ext>
          </a:extLst>
        </xdr:cNvPr>
        <xdr:cNvSpPr/>
      </xdr:nvSpPr>
      <xdr:spPr>
        <a:xfrm>
          <a:off x="3802635" y="981072"/>
          <a:ext cx="1435237" cy="1260000"/>
        </a:xfrm>
        <a:prstGeom prst="roundRect">
          <a:avLst>
            <a:gd name="adj" fmla="val 6108"/>
          </a:avLst>
        </a:prstGeom>
        <a:solidFill>
          <a:srgbClr val="95BFAC">
            <a:alpha val="85000"/>
          </a:srgbClr>
        </a:solidFill>
        <a:ln>
          <a:noFill/>
        </a:ln>
        <a:effectLst>
          <a:outerShdw blurRad="38100" sx="102000" sy="102000" algn="ctr" rotWithShape="0">
            <a:prstClr val="black">
              <a:alpha val="5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0</xdr:col>
      <xdr:colOff>77364</xdr:colOff>
      <xdr:row>5</xdr:row>
      <xdr:rowOff>28572</xdr:rowOff>
    </xdr:from>
    <xdr:to>
      <xdr:col>1</xdr:col>
      <xdr:colOff>187764</xdr:colOff>
      <xdr:row>11</xdr:row>
      <xdr:rowOff>145572</xdr:rowOff>
    </xdr:to>
    <xdr:sp macro="" textlink="">
      <xdr:nvSpPr>
        <xdr:cNvPr id="35" name="Rectangle: Rounded Corners 34">
          <a:extLst>
            <a:ext uri="{FF2B5EF4-FFF2-40B4-BE49-F238E27FC236}">
              <a16:creationId xmlns:a16="http://schemas.microsoft.com/office/drawing/2014/main" id="{00000000-0008-0000-0000-000023000000}"/>
            </a:ext>
          </a:extLst>
        </xdr:cNvPr>
        <xdr:cNvSpPr/>
      </xdr:nvSpPr>
      <xdr:spPr>
        <a:xfrm>
          <a:off x="154728" y="981072"/>
          <a:ext cx="1435238" cy="1260000"/>
        </a:xfrm>
        <a:prstGeom prst="roundRect">
          <a:avLst>
            <a:gd name="adj" fmla="val 6108"/>
          </a:avLst>
        </a:prstGeom>
        <a:solidFill>
          <a:srgbClr val="95BFAC">
            <a:alpha val="85000"/>
          </a:srgbClr>
        </a:solidFill>
        <a:ln>
          <a:noFill/>
        </a:ln>
        <a:effectLst>
          <a:outerShdw blurRad="63500" sx="102000" sy="102000" algn="ctr" rotWithShape="0">
            <a:prstClr val="black">
              <a:alpha val="5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7</xdr:col>
      <xdr:colOff>387906</xdr:colOff>
      <xdr:row>5</xdr:row>
      <xdr:rowOff>19047</xdr:rowOff>
    </xdr:from>
    <xdr:to>
      <xdr:col>8</xdr:col>
      <xdr:colOff>498306</xdr:colOff>
      <xdr:row>11</xdr:row>
      <xdr:rowOff>136047</xdr:rowOff>
    </xdr:to>
    <xdr:sp macro="" textlink="">
      <xdr:nvSpPr>
        <xdr:cNvPr id="38" name="Rectangle: Rounded Corners 37">
          <a:extLst>
            <a:ext uri="{FF2B5EF4-FFF2-40B4-BE49-F238E27FC236}">
              <a16:creationId xmlns:a16="http://schemas.microsoft.com/office/drawing/2014/main" id="{00000000-0008-0000-0000-000026000000}"/>
            </a:ext>
          </a:extLst>
        </xdr:cNvPr>
        <xdr:cNvSpPr/>
      </xdr:nvSpPr>
      <xdr:spPr>
        <a:xfrm>
          <a:off x="9276875" y="971547"/>
          <a:ext cx="1435237" cy="1260000"/>
        </a:xfrm>
        <a:prstGeom prst="roundRect">
          <a:avLst>
            <a:gd name="adj" fmla="val 6108"/>
          </a:avLst>
        </a:prstGeom>
        <a:solidFill>
          <a:srgbClr val="95BFAC">
            <a:alpha val="85000"/>
          </a:srgbClr>
        </a:solidFill>
        <a:ln>
          <a:noFill/>
        </a:ln>
        <a:effectLst>
          <a:outerShdw blurRad="38100" sx="102000" sy="102000" algn="ctr" rotWithShape="0">
            <a:prstClr val="black">
              <a:alpha val="5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9</xdr:col>
      <xdr:colOff>84255</xdr:colOff>
      <xdr:row>5</xdr:row>
      <xdr:rowOff>19047</xdr:rowOff>
    </xdr:from>
    <xdr:to>
      <xdr:col>10</xdr:col>
      <xdr:colOff>194655</xdr:colOff>
      <xdr:row>11</xdr:row>
      <xdr:rowOff>136047</xdr:rowOff>
    </xdr:to>
    <xdr:sp macro="" textlink="">
      <xdr:nvSpPr>
        <xdr:cNvPr id="39" name="Rectangle: Rounded Corners 38">
          <a:extLst>
            <a:ext uri="{FF2B5EF4-FFF2-40B4-BE49-F238E27FC236}">
              <a16:creationId xmlns:a16="http://schemas.microsoft.com/office/drawing/2014/main" id="{00000000-0008-0000-0000-000027000000}"/>
            </a:ext>
          </a:extLst>
        </xdr:cNvPr>
        <xdr:cNvSpPr/>
      </xdr:nvSpPr>
      <xdr:spPr>
        <a:xfrm>
          <a:off x="11098448" y="971547"/>
          <a:ext cx="1435237" cy="1260000"/>
        </a:xfrm>
        <a:prstGeom prst="roundRect">
          <a:avLst>
            <a:gd name="adj" fmla="val 6108"/>
          </a:avLst>
        </a:prstGeom>
        <a:solidFill>
          <a:srgbClr val="95BFAC">
            <a:alpha val="85000"/>
          </a:srgbClr>
        </a:solidFill>
        <a:ln>
          <a:noFill/>
        </a:ln>
        <a:effectLst>
          <a:outerShdw blurRad="38100" sx="102000" sy="102000" algn="ctr" rotWithShape="0">
            <a:prstClr val="black">
              <a:alpha val="5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6</xdr:col>
      <xdr:colOff>81958</xdr:colOff>
      <xdr:row>5</xdr:row>
      <xdr:rowOff>19047</xdr:rowOff>
    </xdr:from>
    <xdr:to>
      <xdr:col>7</xdr:col>
      <xdr:colOff>192358</xdr:colOff>
      <xdr:row>11</xdr:row>
      <xdr:rowOff>136047</xdr:rowOff>
    </xdr:to>
    <xdr:sp macro="" textlink="">
      <xdr:nvSpPr>
        <xdr:cNvPr id="40" name="Rectangle: Rounded Corners 39">
          <a:extLst>
            <a:ext uri="{FF2B5EF4-FFF2-40B4-BE49-F238E27FC236}">
              <a16:creationId xmlns:a16="http://schemas.microsoft.com/office/drawing/2014/main" id="{00000000-0008-0000-0000-000028000000}"/>
            </a:ext>
          </a:extLst>
        </xdr:cNvPr>
        <xdr:cNvSpPr/>
      </xdr:nvSpPr>
      <xdr:spPr>
        <a:xfrm>
          <a:off x="7450541" y="971547"/>
          <a:ext cx="1435238" cy="1260000"/>
        </a:xfrm>
        <a:prstGeom prst="roundRect">
          <a:avLst>
            <a:gd name="adj" fmla="val 6108"/>
          </a:avLst>
        </a:prstGeom>
        <a:solidFill>
          <a:srgbClr val="95BFAC">
            <a:alpha val="85000"/>
          </a:srgbClr>
        </a:solidFill>
        <a:ln>
          <a:noFill/>
        </a:ln>
        <a:effectLst>
          <a:outerShdw blurRad="38100" sx="102000" sy="102000" algn="ctr" rotWithShape="0">
            <a:prstClr val="black">
              <a:alpha val="5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0</xdr:col>
      <xdr:colOff>164507</xdr:colOff>
      <xdr:row>5</xdr:row>
      <xdr:rowOff>66671</xdr:rowOff>
    </xdr:from>
    <xdr:to>
      <xdr:col>1</xdr:col>
      <xdr:colOff>40682</xdr:colOff>
      <xdr:row>6</xdr:row>
      <xdr:rowOff>180971</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329014" y="1019171"/>
          <a:ext cx="96678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Firms</a:t>
          </a:r>
        </a:p>
        <a:p>
          <a:pPr algn="ctr"/>
          <a:endParaRPr lang="en-US" sz="1200" b="1"/>
        </a:p>
      </xdr:txBody>
    </xdr:sp>
    <xdr:clientData/>
  </xdr:twoCellAnchor>
  <xdr:twoCellAnchor>
    <xdr:from>
      <xdr:col>9</xdr:col>
      <xdr:colOff>86912</xdr:colOff>
      <xdr:row>5</xdr:row>
      <xdr:rowOff>66670</xdr:rowOff>
    </xdr:from>
    <xdr:to>
      <xdr:col>10</xdr:col>
      <xdr:colOff>229791</xdr:colOff>
      <xdr:row>7</xdr:row>
      <xdr:rowOff>180971</xdr:rowOff>
    </xdr:to>
    <xdr:sp macro="" textlink="">
      <xdr:nvSpPr>
        <xdr:cNvPr id="43" name="TextBox 42">
          <a:extLst>
            <a:ext uri="{FF2B5EF4-FFF2-40B4-BE49-F238E27FC236}">
              <a16:creationId xmlns:a16="http://schemas.microsoft.com/office/drawing/2014/main" id="{00000000-0008-0000-0000-00002B000000}"/>
            </a:ext>
          </a:extLst>
        </xdr:cNvPr>
        <xdr:cNvSpPr txBox="1"/>
      </xdr:nvSpPr>
      <xdr:spPr>
        <a:xfrm>
          <a:off x="11103762" y="1019170"/>
          <a:ext cx="1500195" cy="4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t>Average Reallocation Rate</a:t>
          </a:r>
        </a:p>
        <a:p>
          <a:pPr algn="ctr"/>
          <a:endParaRPr lang="en-US" sz="1200" b="1"/>
        </a:p>
        <a:p>
          <a:pPr algn="ctr"/>
          <a:endParaRPr lang="en-US" sz="1200" b="1"/>
        </a:p>
      </xdr:txBody>
    </xdr:sp>
    <xdr:clientData/>
  </xdr:twoCellAnchor>
  <xdr:twoCellAnchor>
    <xdr:from>
      <xdr:col>1</xdr:col>
      <xdr:colOff>409373</xdr:colOff>
      <xdr:row>5</xdr:row>
      <xdr:rowOff>66671</xdr:rowOff>
    </xdr:from>
    <xdr:to>
      <xdr:col>2</xdr:col>
      <xdr:colOff>440725</xdr:colOff>
      <xdr:row>7</xdr:row>
      <xdr:rowOff>180972</xdr:rowOff>
    </xdr:to>
    <xdr:sp macro="" textlink="">
      <xdr:nvSpPr>
        <xdr:cNvPr id="44" name="TextBox 43">
          <a:extLst>
            <a:ext uri="{FF2B5EF4-FFF2-40B4-BE49-F238E27FC236}">
              <a16:creationId xmlns:a16="http://schemas.microsoft.com/office/drawing/2014/main" id="{00000000-0008-0000-0000-00002C000000}"/>
            </a:ext>
          </a:extLst>
        </xdr:cNvPr>
        <xdr:cNvSpPr txBox="1"/>
      </xdr:nvSpPr>
      <xdr:spPr>
        <a:xfrm>
          <a:off x="2033184" y="1019171"/>
          <a:ext cx="1277141" cy="4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Employment </a:t>
          </a:r>
        </a:p>
        <a:p>
          <a:pPr algn="ctr"/>
          <a:endParaRPr lang="en-US" sz="1200" b="1"/>
        </a:p>
      </xdr:txBody>
    </xdr:sp>
    <xdr:clientData/>
  </xdr:twoCellAnchor>
  <xdr:twoCellAnchor>
    <xdr:from>
      <xdr:col>7</xdr:col>
      <xdr:colOff>415948</xdr:colOff>
      <xdr:row>5</xdr:row>
      <xdr:rowOff>57145</xdr:rowOff>
    </xdr:from>
    <xdr:to>
      <xdr:col>8</xdr:col>
      <xdr:colOff>492147</xdr:colOff>
      <xdr:row>7</xdr:row>
      <xdr:rowOff>152396</xdr:rowOff>
    </xdr:to>
    <xdr:sp macro="" textlink="">
      <xdr:nvSpPr>
        <xdr:cNvPr id="45" name="TextBox 44">
          <a:extLst>
            <a:ext uri="{FF2B5EF4-FFF2-40B4-BE49-F238E27FC236}">
              <a16:creationId xmlns:a16="http://schemas.microsoft.com/office/drawing/2014/main" id="{00000000-0008-0000-0000-00002D000000}"/>
            </a:ext>
          </a:extLst>
        </xdr:cNvPr>
        <xdr:cNvSpPr txBox="1"/>
      </xdr:nvSpPr>
      <xdr:spPr>
        <a:xfrm>
          <a:off x="9332959" y="1009645"/>
          <a:ext cx="1366835"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Average Survival Rate</a:t>
          </a:r>
        </a:p>
        <a:p>
          <a:pPr algn="ctr"/>
          <a:endParaRPr lang="en-US" sz="1200" b="1"/>
        </a:p>
        <a:p>
          <a:pPr algn="ctr"/>
          <a:endParaRPr lang="en-US" sz="1200" b="1"/>
        </a:p>
      </xdr:txBody>
    </xdr:sp>
    <xdr:clientData/>
  </xdr:twoCellAnchor>
  <xdr:twoCellAnchor>
    <xdr:from>
      <xdr:col>3</xdr:col>
      <xdr:colOff>100509</xdr:colOff>
      <xdr:row>5</xdr:row>
      <xdr:rowOff>66671</xdr:rowOff>
    </xdr:from>
    <xdr:to>
      <xdr:col>4</xdr:col>
      <xdr:colOff>146170</xdr:colOff>
      <xdr:row>8</xdr:row>
      <xdr:rowOff>19047</xdr:rowOff>
    </xdr:to>
    <xdr:sp macro="" textlink="">
      <xdr:nvSpPr>
        <xdr:cNvPr id="46" name="TextBox 45">
          <a:extLst>
            <a:ext uri="{FF2B5EF4-FFF2-40B4-BE49-F238E27FC236}">
              <a16:creationId xmlns:a16="http://schemas.microsoft.com/office/drawing/2014/main" id="{00000000-0008-0000-0000-00002E000000}"/>
            </a:ext>
          </a:extLst>
        </xdr:cNvPr>
        <xdr:cNvSpPr txBox="1"/>
      </xdr:nvSpPr>
      <xdr:spPr>
        <a:xfrm>
          <a:off x="3844331" y="1019171"/>
          <a:ext cx="1305759" cy="52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Average Entry Rate</a:t>
          </a:r>
        </a:p>
        <a:p>
          <a:pPr algn="ctr"/>
          <a:endParaRPr lang="en-US" sz="1200" b="1"/>
        </a:p>
      </xdr:txBody>
    </xdr:sp>
    <xdr:clientData/>
  </xdr:twoCellAnchor>
  <xdr:twoCellAnchor>
    <xdr:from>
      <xdr:col>4</xdr:col>
      <xdr:colOff>389089</xdr:colOff>
      <xdr:row>5</xdr:row>
      <xdr:rowOff>66671</xdr:rowOff>
    </xdr:from>
    <xdr:to>
      <xdr:col>5</xdr:col>
      <xdr:colOff>503389</xdr:colOff>
      <xdr:row>6</xdr:row>
      <xdr:rowOff>180971</xdr:rowOff>
    </xdr:to>
    <xdr:sp macro="" textlink="">
      <xdr:nvSpPr>
        <xdr:cNvPr id="47" name="TextBox 46">
          <a:extLst>
            <a:ext uri="{FF2B5EF4-FFF2-40B4-BE49-F238E27FC236}">
              <a16:creationId xmlns:a16="http://schemas.microsoft.com/office/drawing/2014/main" id="{00000000-0008-0000-0000-00002F000000}"/>
            </a:ext>
          </a:extLst>
        </xdr:cNvPr>
        <xdr:cNvSpPr txBox="1"/>
      </xdr:nvSpPr>
      <xdr:spPr>
        <a:xfrm>
          <a:off x="5635928" y="1019171"/>
          <a:ext cx="14430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Average Exit Rate</a:t>
          </a:r>
        </a:p>
        <a:p>
          <a:pPr algn="ctr"/>
          <a:endParaRPr lang="en-US" sz="1200" b="1"/>
        </a:p>
      </xdr:txBody>
    </xdr:sp>
    <xdr:clientData/>
  </xdr:twoCellAnchor>
  <xdr:twoCellAnchor>
    <xdr:from>
      <xdr:col>6</xdr:col>
      <xdr:colOff>100681</xdr:colOff>
      <xdr:row>5</xdr:row>
      <xdr:rowOff>57146</xdr:rowOff>
    </xdr:from>
    <xdr:to>
      <xdr:col>7</xdr:col>
      <xdr:colOff>184420</xdr:colOff>
      <xdr:row>7</xdr:row>
      <xdr:rowOff>142871</xdr:rowOff>
    </xdr:to>
    <xdr:sp macro="" textlink="">
      <xdr:nvSpPr>
        <xdr:cNvPr id="49" name="TextBox 48">
          <a:extLst>
            <a:ext uri="{FF2B5EF4-FFF2-40B4-BE49-F238E27FC236}">
              <a16:creationId xmlns:a16="http://schemas.microsoft.com/office/drawing/2014/main" id="{00000000-0008-0000-0000-000031000000}"/>
            </a:ext>
          </a:extLst>
        </xdr:cNvPr>
        <xdr:cNvSpPr txBox="1"/>
      </xdr:nvSpPr>
      <xdr:spPr>
        <a:xfrm>
          <a:off x="7487987" y="1009646"/>
          <a:ext cx="1381916"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Net</a:t>
          </a:r>
          <a:r>
            <a:rPr lang="en-US" sz="1200" b="1" baseline="0"/>
            <a:t> Job Creation Rate</a:t>
          </a:r>
          <a:endParaRPr lang="en-US" sz="1200" b="1"/>
        </a:p>
        <a:p>
          <a:pPr algn="ctr"/>
          <a:endParaRPr lang="en-US" sz="1200" b="1"/>
        </a:p>
      </xdr:txBody>
    </xdr:sp>
    <xdr:clientData/>
  </xdr:twoCellAnchor>
  <xdr:twoCellAnchor>
    <xdr:from>
      <xdr:col>0</xdr:col>
      <xdr:colOff>134538</xdr:colOff>
      <xdr:row>8</xdr:row>
      <xdr:rowOff>57147</xdr:rowOff>
    </xdr:from>
    <xdr:to>
      <xdr:col>1</xdr:col>
      <xdr:colOff>70651</xdr:colOff>
      <xdr:row>9</xdr:row>
      <xdr:rowOff>171447</xdr:rowOff>
    </xdr:to>
    <xdr:sp macro="" textlink="'Firm size analysis'!A4">
      <xdr:nvSpPr>
        <xdr:cNvPr id="50" name="TextBox 49">
          <a:extLst>
            <a:ext uri="{FF2B5EF4-FFF2-40B4-BE49-F238E27FC236}">
              <a16:creationId xmlns:a16="http://schemas.microsoft.com/office/drawing/2014/main" id="{00000000-0008-0000-0000-000032000000}"/>
            </a:ext>
          </a:extLst>
        </xdr:cNvPr>
        <xdr:cNvSpPr txBox="1"/>
      </xdr:nvSpPr>
      <xdr:spPr>
        <a:xfrm>
          <a:off x="269076" y="1581147"/>
          <a:ext cx="108666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A2AC6FD-6256-42AD-99C4-77292E6F899E}" type="TxLink">
            <a:rPr lang="en-US" sz="1600" b="1" i="0" u="none" strike="noStrike">
              <a:solidFill>
                <a:srgbClr val="000000"/>
              </a:solidFill>
              <a:latin typeface="Calibri"/>
              <a:ea typeface="Calibri"/>
              <a:cs typeface="Calibri"/>
            </a:rPr>
            <a:pPr marL="0" indent="0" algn="ctr"/>
            <a:t>83.80 M</a:t>
          </a:fld>
          <a:endParaRPr lang="en-US" sz="1600" b="1" i="0" u="none" strike="noStrike">
            <a:solidFill>
              <a:srgbClr val="000000"/>
            </a:solidFill>
            <a:latin typeface="Calibri"/>
            <a:ea typeface="Calibri"/>
            <a:cs typeface="Calibri"/>
          </a:endParaRPr>
        </a:p>
      </xdr:txBody>
    </xdr:sp>
    <xdr:clientData/>
  </xdr:twoCellAnchor>
  <xdr:twoCellAnchor>
    <xdr:from>
      <xdr:col>1</xdr:col>
      <xdr:colOff>386949</xdr:colOff>
      <xdr:row>8</xdr:row>
      <xdr:rowOff>57147</xdr:rowOff>
    </xdr:from>
    <xdr:to>
      <xdr:col>2</xdr:col>
      <xdr:colOff>463150</xdr:colOff>
      <xdr:row>9</xdr:row>
      <xdr:rowOff>171447</xdr:rowOff>
    </xdr:to>
    <xdr:sp macro="" textlink="'Firm size analysis'!B4">
      <xdr:nvSpPr>
        <xdr:cNvPr id="52" name="TextBox 51">
          <a:extLst>
            <a:ext uri="{FF2B5EF4-FFF2-40B4-BE49-F238E27FC236}">
              <a16:creationId xmlns:a16="http://schemas.microsoft.com/office/drawing/2014/main" id="{00000000-0008-0000-0000-000034000000}"/>
            </a:ext>
          </a:extLst>
        </xdr:cNvPr>
        <xdr:cNvSpPr txBox="1"/>
      </xdr:nvSpPr>
      <xdr:spPr>
        <a:xfrm>
          <a:off x="1988336" y="1581147"/>
          <a:ext cx="136683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4405FC8-F3D5-42F8-A61A-C670AB9ADDA5}" type="TxLink">
            <a:rPr lang="en-US" sz="1600" b="1" i="0" u="none" strike="noStrike">
              <a:solidFill>
                <a:srgbClr val="000000"/>
              </a:solidFill>
              <a:latin typeface="Calibri"/>
              <a:ea typeface="Calibri"/>
              <a:cs typeface="Calibri"/>
            </a:rPr>
            <a:pPr marL="0" indent="0" algn="ctr"/>
            <a:t>1.98 B</a:t>
          </a:fld>
          <a:endParaRPr lang="en-US" sz="1600" b="1" i="0" u="none" strike="noStrike">
            <a:solidFill>
              <a:srgbClr val="000000"/>
            </a:solidFill>
            <a:latin typeface="Calibri"/>
            <a:ea typeface="Calibri"/>
            <a:cs typeface="Calibri"/>
          </a:endParaRPr>
        </a:p>
      </xdr:txBody>
    </xdr:sp>
    <xdr:clientData/>
  </xdr:twoCellAnchor>
  <xdr:twoCellAnchor>
    <xdr:from>
      <xdr:col>3</xdr:col>
      <xdr:colOff>185252</xdr:colOff>
      <xdr:row>8</xdr:row>
      <xdr:rowOff>57147</xdr:rowOff>
    </xdr:from>
    <xdr:to>
      <xdr:col>4</xdr:col>
      <xdr:colOff>61427</xdr:colOff>
      <xdr:row>9</xdr:row>
      <xdr:rowOff>171447</xdr:rowOff>
    </xdr:to>
    <xdr:sp macro="" textlink="'Firm size analysis'!C4">
      <xdr:nvSpPr>
        <xdr:cNvPr id="54" name="TextBox 53">
          <a:extLst>
            <a:ext uri="{FF2B5EF4-FFF2-40B4-BE49-F238E27FC236}">
              <a16:creationId xmlns:a16="http://schemas.microsoft.com/office/drawing/2014/main" id="{00000000-0008-0000-0000-000036000000}"/>
            </a:ext>
          </a:extLst>
        </xdr:cNvPr>
        <xdr:cNvSpPr txBox="1"/>
      </xdr:nvSpPr>
      <xdr:spPr>
        <a:xfrm>
          <a:off x="4013817" y="1581147"/>
          <a:ext cx="96678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E227DAF-3D8B-4B13-8B37-9B7724BF48EB}" type="TxLink">
            <a:rPr lang="en-US" sz="1600" b="1" i="0" u="none" strike="noStrike">
              <a:solidFill>
                <a:srgbClr val="000000"/>
              </a:solidFill>
              <a:latin typeface="Calibri"/>
              <a:ea typeface="Calibri"/>
              <a:cs typeface="Calibri"/>
            </a:rPr>
            <a:pPr algn="ctr"/>
            <a:t>6.7%</a:t>
          </a:fld>
          <a:endParaRPr lang="en-US" sz="1600" b="1"/>
        </a:p>
      </xdr:txBody>
    </xdr:sp>
    <xdr:clientData/>
  </xdr:twoCellAnchor>
  <xdr:twoCellAnchor>
    <xdr:from>
      <xdr:col>4</xdr:col>
      <xdr:colOff>508151</xdr:colOff>
      <xdr:row>8</xdr:row>
      <xdr:rowOff>57147</xdr:rowOff>
    </xdr:from>
    <xdr:to>
      <xdr:col>5</xdr:col>
      <xdr:colOff>384326</xdr:colOff>
      <xdr:row>9</xdr:row>
      <xdr:rowOff>171447</xdr:rowOff>
    </xdr:to>
    <xdr:sp macro="" textlink="'Firm size analysis'!D4">
      <xdr:nvSpPr>
        <xdr:cNvPr id="56" name="TextBox 55">
          <a:extLst>
            <a:ext uri="{FF2B5EF4-FFF2-40B4-BE49-F238E27FC236}">
              <a16:creationId xmlns:a16="http://schemas.microsoft.com/office/drawing/2014/main" id="{00000000-0008-0000-0000-000038000000}"/>
            </a:ext>
          </a:extLst>
        </xdr:cNvPr>
        <xdr:cNvSpPr txBox="1"/>
      </xdr:nvSpPr>
      <xdr:spPr>
        <a:xfrm>
          <a:off x="5874052" y="1581147"/>
          <a:ext cx="96678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1F8D4BE-F272-4CC8-9EB3-B3CB93F0F8B6}" type="TxLink">
            <a:rPr lang="en-US" sz="1600" b="1" i="0" u="none" strike="noStrike">
              <a:solidFill>
                <a:srgbClr val="000000"/>
              </a:solidFill>
              <a:latin typeface="Calibri"/>
              <a:ea typeface="Calibri"/>
              <a:cs typeface="Calibri"/>
            </a:rPr>
            <a:pPr algn="ctr"/>
            <a:t>6.0%</a:t>
          </a:fld>
          <a:endParaRPr lang="en-US" sz="1600" b="1"/>
        </a:p>
      </xdr:txBody>
    </xdr:sp>
    <xdr:clientData/>
  </xdr:twoCellAnchor>
  <xdr:twoCellAnchor>
    <xdr:from>
      <xdr:col>7</xdr:col>
      <xdr:colOff>515960</xdr:colOff>
      <xdr:row>8</xdr:row>
      <xdr:rowOff>57147</xdr:rowOff>
    </xdr:from>
    <xdr:to>
      <xdr:col>8</xdr:col>
      <xdr:colOff>392135</xdr:colOff>
      <xdr:row>9</xdr:row>
      <xdr:rowOff>171447</xdr:rowOff>
    </xdr:to>
    <xdr:sp macro="" textlink="'Firm size analysis'!F4">
      <xdr:nvSpPr>
        <xdr:cNvPr id="58" name="TextBox 57">
          <a:extLst>
            <a:ext uri="{FF2B5EF4-FFF2-40B4-BE49-F238E27FC236}">
              <a16:creationId xmlns:a16="http://schemas.microsoft.com/office/drawing/2014/main" id="{00000000-0008-0000-0000-00003A000000}"/>
            </a:ext>
          </a:extLst>
        </xdr:cNvPr>
        <xdr:cNvSpPr txBox="1"/>
      </xdr:nvSpPr>
      <xdr:spPr>
        <a:xfrm>
          <a:off x="9532983" y="1581147"/>
          <a:ext cx="96678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CF57508-2A67-422C-B307-95CA1839BF8A}" type="TxLink">
            <a:rPr lang="en-US" sz="1600" b="1" i="0" u="none" strike="noStrike">
              <a:solidFill>
                <a:srgbClr val="000000"/>
              </a:solidFill>
              <a:latin typeface="Calibri"/>
              <a:ea typeface="Calibri"/>
              <a:cs typeface="Calibri"/>
            </a:rPr>
            <a:pPr marL="0" indent="0" algn="ctr"/>
            <a:t>97.7%</a:t>
          </a:fld>
          <a:endParaRPr lang="en-US" sz="1600" b="1" i="0" u="none" strike="noStrike">
            <a:solidFill>
              <a:srgbClr val="000000"/>
            </a:solidFill>
            <a:latin typeface="Calibri"/>
            <a:ea typeface="Calibri"/>
            <a:cs typeface="Calibri"/>
          </a:endParaRPr>
        </a:p>
      </xdr:txBody>
    </xdr:sp>
    <xdr:clientData/>
  </xdr:twoCellAnchor>
  <xdr:twoCellAnchor>
    <xdr:from>
      <xdr:col>9</xdr:col>
      <xdr:colOff>201368</xdr:colOff>
      <xdr:row>8</xdr:row>
      <xdr:rowOff>57147</xdr:rowOff>
    </xdr:from>
    <xdr:to>
      <xdr:col>10</xdr:col>
      <xdr:colOff>77543</xdr:colOff>
      <xdr:row>9</xdr:row>
      <xdr:rowOff>171447</xdr:rowOff>
    </xdr:to>
    <xdr:sp macro="" textlink="'Firm size analysis'!G4">
      <xdr:nvSpPr>
        <xdr:cNvPr id="60" name="TextBox 59">
          <a:extLst>
            <a:ext uri="{FF2B5EF4-FFF2-40B4-BE49-F238E27FC236}">
              <a16:creationId xmlns:a16="http://schemas.microsoft.com/office/drawing/2014/main" id="{00000000-0008-0000-0000-00003C000000}"/>
            </a:ext>
          </a:extLst>
        </xdr:cNvPr>
        <xdr:cNvSpPr txBox="1"/>
      </xdr:nvSpPr>
      <xdr:spPr>
        <a:xfrm>
          <a:off x="11332674" y="1581147"/>
          <a:ext cx="96678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2565784-3580-4A4F-ACEE-CDAF4DAB40D9}" type="TxLink">
            <a:rPr lang="en-US" sz="1600" b="1" i="0" u="none" strike="noStrike">
              <a:solidFill>
                <a:srgbClr val="000000"/>
              </a:solidFill>
              <a:latin typeface="Calibri"/>
              <a:ea typeface="Calibri"/>
              <a:cs typeface="Calibri"/>
            </a:rPr>
            <a:pPr marL="0" indent="0" algn="ctr"/>
            <a:t>25.06%</a:t>
          </a:fld>
          <a:endParaRPr lang="en-US" sz="1600" b="1" i="0" u="none" strike="noStrike">
            <a:solidFill>
              <a:srgbClr val="000000"/>
            </a:solidFill>
            <a:latin typeface="Calibri"/>
            <a:ea typeface="Calibri"/>
            <a:cs typeface="Calibri"/>
          </a:endParaRPr>
        </a:p>
      </xdr:txBody>
    </xdr:sp>
    <xdr:clientData/>
  </xdr:twoCellAnchor>
  <xdr:twoCellAnchor>
    <xdr:from>
      <xdr:col>6</xdr:col>
      <xdr:colOff>204463</xdr:colOff>
      <xdr:row>8</xdr:row>
      <xdr:rowOff>57147</xdr:rowOff>
    </xdr:from>
    <xdr:to>
      <xdr:col>7</xdr:col>
      <xdr:colOff>80638</xdr:colOff>
      <xdr:row>9</xdr:row>
      <xdr:rowOff>171447</xdr:rowOff>
    </xdr:to>
    <xdr:sp macro="" textlink="'Firm size analysis'!E4">
      <xdr:nvSpPr>
        <xdr:cNvPr id="62" name="TextBox 61">
          <a:extLst>
            <a:ext uri="{FF2B5EF4-FFF2-40B4-BE49-F238E27FC236}">
              <a16:creationId xmlns:a16="http://schemas.microsoft.com/office/drawing/2014/main" id="{00000000-0008-0000-0000-00003E000000}"/>
            </a:ext>
          </a:extLst>
        </xdr:cNvPr>
        <xdr:cNvSpPr txBox="1"/>
      </xdr:nvSpPr>
      <xdr:spPr>
        <a:xfrm>
          <a:off x="7695551" y="1581147"/>
          <a:ext cx="96678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FD44A8E-B248-47A8-985B-F70CAA9D2D6B}" type="TxLink">
            <a:rPr lang="en-US" sz="1600" b="1" i="0" u="none" strike="noStrike">
              <a:solidFill>
                <a:srgbClr val="000000"/>
              </a:solidFill>
              <a:latin typeface="Calibri"/>
              <a:ea typeface="Calibri"/>
              <a:cs typeface="Calibri"/>
            </a:rPr>
            <a:pPr marL="0" indent="0" algn="ctr"/>
            <a:t>1.0%</a:t>
          </a:fld>
          <a:endParaRPr lang="en-US" sz="1600" b="1" i="0" u="none" strike="noStrike">
            <a:solidFill>
              <a:srgbClr val="000000"/>
            </a:solidFill>
            <a:latin typeface="Calibri"/>
            <a:ea typeface="Calibri"/>
            <a:cs typeface="Calibri"/>
          </a:endParaRPr>
        </a:p>
      </xdr:txBody>
    </xdr:sp>
    <xdr:clientData/>
  </xdr:twoCellAnchor>
  <xdr:twoCellAnchor>
    <xdr:from>
      <xdr:col>6</xdr:col>
      <xdr:colOff>476250</xdr:colOff>
      <xdr:row>0</xdr:row>
      <xdr:rowOff>47627</xdr:rowOff>
    </xdr:from>
    <xdr:to>
      <xdr:col>10</xdr:col>
      <xdr:colOff>228600</xdr:colOff>
      <xdr:row>3</xdr:row>
      <xdr:rowOff>137583</xdr:rowOff>
    </xdr:to>
    <xdr:sp macro="" textlink="">
      <xdr:nvSpPr>
        <xdr:cNvPr id="70" name="Rectangle: Rounded Corners 69">
          <a:extLst>
            <a:ext uri="{FF2B5EF4-FFF2-40B4-BE49-F238E27FC236}">
              <a16:creationId xmlns:a16="http://schemas.microsoft.com/office/drawing/2014/main" id="{00000000-0008-0000-0000-000046000000}"/>
            </a:ext>
          </a:extLst>
        </xdr:cNvPr>
        <xdr:cNvSpPr/>
      </xdr:nvSpPr>
      <xdr:spPr>
        <a:xfrm>
          <a:off x="8267700" y="47627"/>
          <a:ext cx="4381500" cy="661456"/>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0</xdr:col>
      <xdr:colOff>33335</xdr:colOff>
      <xdr:row>0</xdr:row>
      <xdr:rowOff>47627</xdr:rowOff>
    </xdr:from>
    <xdr:to>
      <xdr:col>2</xdr:col>
      <xdr:colOff>442912</xdr:colOff>
      <xdr:row>3</xdr:row>
      <xdr:rowOff>138527</xdr:rowOff>
    </xdr:to>
    <xdr:sp macro="" textlink="">
      <xdr:nvSpPr>
        <xdr:cNvPr id="71" name="Rectangle: Rounded Corners 70">
          <a:extLst>
            <a:ext uri="{FF2B5EF4-FFF2-40B4-BE49-F238E27FC236}">
              <a16:creationId xmlns:a16="http://schemas.microsoft.com/office/drawing/2014/main" id="{00000000-0008-0000-0000-000047000000}"/>
            </a:ext>
          </a:extLst>
        </xdr:cNvPr>
        <xdr:cNvSpPr/>
      </xdr:nvSpPr>
      <xdr:spPr>
        <a:xfrm>
          <a:off x="66670" y="47627"/>
          <a:ext cx="3257554" cy="662400"/>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0</xdr:col>
      <xdr:colOff>79902</xdr:colOff>
      <xdr:row>0</xdr:row>
      <xdr:rowOff>103718</xdr:rowOff>
    </xdr:from>
    <xdr:to>
      <xdr:col>2</xdr:col>
      <xdr:colOff>470958</xdr:colOff>
      <xdr:row>2</xdr:row>
      <xdr:rowOff>8467</xdr:rowOff>
    </xdr:to>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159804" y="103718"/>
          <a:ext cx="3216279"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rPr>
            <a:t>FIRM</a:t>
          </a:r>
          <a:r>
            <a:rPr lang="en-US" sz="1600" b="1" baseline="0">
              <a:solidFill>
                <a:sysClr val="windowText" lastClr="000000"/>
              </a:solidFill>
            </a:rPr>
            <a:t> SIZE ANALYSIS DASHBOARD</a:t>
          </a:r>
          <a:endParaRPr lang="en-US" sz="1600" b="1">
            <a:solidFill>
              <a:sysClr val="windowText" lastClr="000000"/>
            </a:solidFill>
          </a:endParaRPr>
        </a:p>
      </xdr:txBody>
    </xdr:sp>
    <xdr:clientData/>
  </xdr:twoCellAnchor>
  <xdr:twoCellAnchor>
    <xdr:from>
      <xdr:col>0</xdr:col>
      <xdr:colOff>33336</xdr:colOff>
      <xdr:row>12</xdr:row>
      <xdr:rowOff>153455</xdr:rowOff>
    </xdr:from>
    <xdr:to>
      <xdr:col>5</xdr:col>
      <xdr:colOff>247651</xdr:colOff>
      <xdr:row>23</xdr:row>
      <xdr:rowOff>109955</xdr:rowOff>
    </xdr:to>
    <xdr:sp macro="" textlink="">
      <xdr:nvSpPr>
        <xdr:cNvPr id="64" name="Rectangle: Rounded Corners 63">
          <a:extLst>
            <a:ext uri="{FF2B5EF4-FFF2-40B4-BE49-F238E27FC236}">
              <a16:creationId xmlns:a16="http://schemas.microsoft.com/office/drawing/2014/main" id="{00000000-0008-0000-0000-000040000000}"/>
            </a:ext>
          </a:extLst>
        </xdr:cNvPr>
        <xdr:cNvSpPr/>
      </xdr:nvSpPr>
      <xdr:spPr>
        <a:xfrm>
          <a:off x="66672" y="2439455"/>
          <a:ext cx="6514047" cy="2052000"/>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0</xdr:col>
      <xdr:colOff>71437</xdr:colOff>
      <xdr:row>13</xdr:row>
      <xdr:rowOff>29630</xdr:rowOff>
    </xdr:from>
    <xdr:to>
      <xdr:col>1</xdr:col>
      <xdr:colOff>61912</xdr:colOff>
      <xdr:row>14</xdr:row>
      <xdr:rowOff>105830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42874" y="2506130"/>
          <a:ext cx="119803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Firms By Size</a:t>
          </a:r>
        </a:p>
      </xdr:txBody>
    </xdr:sp>
    <xdr:clientData/>
  </xdr:twoCellAnchor>
  <mc:AlternateContent xmlns:mc="http://schemas.openxmlformats.org/markup-compatibility/2006">
    <mc:Choice xmlns:a14="http://schemas.microsoft.com/office/drawing/2010/main" Requires="a14">
      <xdr:twoCellAnchor editAs="oneCell">
        <xdr:from>
          <xdr:col>1</xdr:col>
          <xdr:colOff>161925</xdr:colOff>
          <xdr:row>13</xdr:row>
          <xdr:rowOff>66675</xdr:rowOff>
        </xdr:from>
        <xdr:to>
          <xdr:col>1</xdr:col>
          <xdr:colOff>542925</xdr:colOff>
          <xdr:row>14</xdr:row>
          <xdr:rowOff>133350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Total Firms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600075</xdr:colOff>
          <xdr:row>13</xdr:row>
          <xdr:rowOff>66675</xdr:rowOff>
        </xdr:from>
        <xdr:to>
          <xdr:col>3</xdr:col>
          <xdr:colOff>9525</xdr:colOff>
          <xdr:row>14</xdr:row>
          <xdr:rowOff>133350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Total Establishments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13</xdr:row>
          <xdr:rowOff>66675</xdr:rowOff>
        </xdr:from>
        <xdr:to>
          <xdr:col>3</xdr:col>
          <xdr:colOff>542925</xdr:colOff>
          <xdr:row>14</xdr:row>
          <xdr:rowOff>133350</xdr:rowOff>
        </xdr:to>
        <xdr:sp macro="" textlink="">
          <xdr:nvSpPr>
            <xdr:cNvPr id="1033" name="Option Button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Total Employment</a:t>
              </a:r>
            </a:p>
          </xdr:txBody>
        </xdr:sp>
        <xdr:clientData/>
      </xdr:twoCellAnchor>
    </mc:Choice>
    <mc:Fallback/>
  </mc:AlternateContent>
  <xdr:twoCellAnchor>
    <xdr:from>
      <xdr:col>0</xdr:col>
      <xdr:colOff>61907</xdr:colOff>
      <xdr:row>14</xdr:row>
      <xdr:rowOff>162980</xdr:rowOff>
    </xdr:from>
    <xdr:to>
      <xdr:col>5</xdr:col>
      <xdr:colOff>242887</xdr:colOff>
      <xdr:row>23</xdr:row>
      <xdr:rowOff>74080</xdr:rowOff>
    </xdr:to>
    <xdr:graphicFrame macro="">
      <xdr:nvGraphicFramePr>
        <xdr:cNvPr id="66" name="Chart 65">
          <a:extLst>
            <a:ext uri="{FF2B5EF4-FFF2-40B4-BE49-F238E27FC236}">
              <a16:creationId xmlns:a16="http://schemas.microsoft.com/office/drawing/2014/main" id="{00000000-0008-0000-0000-00004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366712</xdr:colOff>
      <xdr:row>14</xdr:row>
      <xdr:rowOff>124880</xdr:rowOff>
    </xdr:from>
    <xdr:to>
      <xdr:col>10</xdr:col>
      <xdr:colOff>209550</xdr:colOff>
      <xdr:row>23</xdr:row>
      <xdr:rowOff>105830</xdr:rowOff>
    </xdr:to>
    <xdr:graphicFrame macro="">
      <xdr:nvGraphicFramePr>
        <xdr:cNvPr id="41" name="Chart 40">
          <a:extLst>
            <a:ext uri="{FF2B5EF4-FFF2-40B4-BE49-F238E27FC236}">
              <a16:creationId xmlns:a16="http://schemas.microsoft.com/office/drawing/2014/main" id="{00000000-0008-0000-00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395286</xdr:colOff>
      <xdr:row>13</xdr:row>
      <xdr:rowOff>48680</xdr:rowOff>
    </xdr:from>
    <xdr:to>
      <xdr:col>10</xdr:col>
      <xdr:colOff>214312</xdr:colOff>
      <xdr:row>14</xdr:row>
      <xdr:rowOff>124880</xdr:rowOff>
    </xdr:to>
    <xdr:sp macro="" textlink="">
      <xdr:nvSpPr>
        <xdr:cNvPr id="51" name="TextBox 50">
          <a:extLst>
            <a:ext uri="{FF2B5EF4-FFF2-40B4-BE49-F238E27FC236}">
              <a16:creationId xmlns:a16="http://schemas.microsoft.com/office/drawing/2014/main" id="{00000000-0008-0000-0000-000033000000}"/>
            </a:ext>
          </a:extLst>
        </xdr:cNvPr>
        <xdr:cNvSpPr txBox="1"/>
      </xdr:nvSpPr>
      <xdr:spPr>
        <a:xfrm>
          <a:off x="6875989" y="2525180"/>
          <a:ext cx="572346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a:t>
          </a:r>
          <a:r>
            <a:rPr lang="en-US" sz="1400" b="1" baseline="0"/>
            <a:t> Establishment Entry Vs Exit Rate</a:t>
          </a:r>
          <a:endParaRPr lang="en-US" sz="1400" b="1"/>
        </a:p>
      </xdr:txBody>
    </xdr:sp>
    <xdr:clientData/>
  </xdr:twoCellAnchor>
  <xdr:twoCellAnchor>
    <xdr:from>
      <xdr:col>0</xdr:col>
      <xdr:colOff>33336</xdr:colOff>
      <xdr:row>23</xdr:row>
      <xdr:rowOff>177206</xdr:rowOff>
    </xdr:from>
    <xdr:to>
      <xdr:col>5</xdr:col>
      <xdr:colOff>232587</xdr:colOff>
      <xdr:row>38</xdr:row>
      <xdr:rowOff>11906</xdr:rowOff>
    </xdr:to>
    <xdr:sp macro="" textlink="">
      <xdr:nvSpPr>
        <xdr:cNvPr id="53" name="Rectangle: Rounded Corners 52">
          <a:extLst>
            <a:ext uri="{FF2B5EF4-FFF2-40B4-BE49-F238E27FC236}">
              <a16:creationId xmlns:a16="http://schemas.microsoft.com/office/drawing/2014/main" id="{00000000-0008-0000-0000-000035000000}"/>
            </a:ext>
          </a:extLst>
        </xdr:cNvPr>
        <xdr:cNvSpPr/>
      </xdr:nvSpPr>
      <xdr:spPr>
        <a:xfrm>
          <a:off x="66672" y="4558706"/>
          <a:ext cx="6470690" cy="2692200"/>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523875</xdr:colOff>
          <xdr:row>24</xdr:row>
          <xdr:rowOff>28575</xdr:rowOff>
        </xdr:from>
        <xdr:to>
          <xdr:col>3</xdr:col>
          <xdr:colOff>457200</xdr:colOff>
          <xdr:row>26</xdr:row>
          <xdr:rowOff>114300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Job Creation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24</xdr:row>
          <xdr:rowOff>28575</xdr:rowOff>
        </xdr:from>
        <xdr:to>
          <xdr:col>4</xdr:col>
          <xdr:colOff>457200</xdr:colOff>
          <xdr:row>26</xdr:row>
          <xdr:rowOff>76200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Job Destruction</a:t>
              </a:r>
            </a:p>
          </xdr:txBody>
        </xdr:sp>
        <xdr:clientData/>
      </xdr:twoCellAnchor>
    </mc:Choice>
    <mc:Fallback/>
  </mc:AlternateContent>
  <xdr:twoCellAnchor>
    <xdr:from>
      <xdr:col>0</xdr:col>
      <xdr:colOff>71991</xdr:colOff>
      <xdr:row>26</xdr:row>
      <xdr:rowOff>22147</xdr:rowOff>
    </xdr:from>
    <xdr:to>
      <xdr:col>5</xdr:col>
      <xdr:colOff>127369</xdr:colOff>
      <xdr:row>37</xdr:row>
      <xdr:rowOff>166687</xdr:rowOff>
    </xdr:to>
    <xdr:graphicFrame macro="">
      <xdr:nvGraphicFramePr>
        <xdr:cNvPr id="59" name="Chart 58">
          <a:extLst>
            <a:ext uri="{FF2B5EF4-FFF2-40B4-BE49-F238E27FC236}">
              <a16:creationId xmlns:a16="http://schemas.microsoft.com/office/drawing/2014/main" id="{00000000-0008-0000-00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30567</xdr:rowOff>
    </xdr:from>
    <xdr:to>
      <xdr:col>2</xdr:col>
      <xdr:colOff>256623</xdr:colOff>
      <xdr:row>25</xdr:row>
      <xdr:rowOff>184739</xdr:rowOff>
    </xdr:to>
    <xdr:sp macro="" textlink="">
      <xdr:nvSpPr>
        <xdr:cNvPr id="61" name="TextBox 60">
          <a:extLst>
            <a:ext uri="{FF2B5EF4-FFF2-40B4-BE49-F238E27FC236}">
              <a16:creationId xmlns:a16="http://schemas.microsoft.com/office/drawing/2014/main" id="{00000000-0008-0000-0000-00003D000000}"/>
            </a:ext>
          </a:extLst>
        </xdr:cNvPr>
        <xdr:cNvSpPr txBox="1"/>
      </xdr:nvSpPr>
      <xdr:spPr>
        <a:xfrm>
          <a:off x="0" y="4602567"/>
          <a:ext cx="2962532" cy="344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Job</a:t>
          </a:r>
          <a:r>
            <a:rPr lang="en-US" sz="1400" b="1" baseline="0"/>
            <a:t> Creation and Destruction</a:t>
          </a:r>
          <a:endParaRPr lang="en-US" sz="1400" b="1"/>
        </a:p>
      </xdr:txBody>
    </xdr:sp>
    <xdr:clientData/>
  </xdr:twoCellAnchor>
  <xdr:twoCellAnchor>
    <xdr:from>
      <xdr:col>5</xdr:col>
      <xdr:colOff>326729</xdr:colOff>
      <xdr:row>25</xdr:row>
      <xdr:rowOff>107156</xdr:rowOff>
    </xdr:from>
    <xdr:to>
      <xdr:col>10</xdr:col>
      <xdr:colOff>182747</xdr:colOff>
      <xdr:row>37</xdr:row>
      <xdr:rowOff>140438</xdr:rowOff>
    </xdr:to>
    <xdr:graphicFrame macro="">
      <xdr:nvGraphicFramePr>
        <xdr:cNvPr id="63" name="Chart 62">
          <a:extLst>
            <a:ext uri="{FF2B5EF4-FFF2-40B4-BE49-F238E27FC236}">
              <a16:creationId xmlns:a16="http://schemas.microsoft.com/office/drawing/2014/main" id="{00000000-0008-0000-00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37435</xdr:colOff>
      <xdr:row>24</xdr:row>
      <xdr:rowOff>50059</xdr:rowOff>
    </xdr:from>
    <xdr:to>
      <xdr:col>8</xdr:col>
      <xdr:colOff>294058</xdr:colOff>
      <xdr:row>26</xdr:row>
      <xdr:rowOff>15946</xdr:rowOff>
    </xdr:to>
    <xdr:sp macro="" textlink="">
      <xdr:nvSpPr>
        <xdr:cNvPr id="67" name="TextBox 66">
          <a:extLst>
            <a:ext uri="{FF2B5EF4-FFF2-40B4-BE49-F238E27FC236}">
              <a16:creationId xmlns:a16="http://schemas.microsoft.com/office/drawing/2014/main" id="{00000000-0008-0000-0000-000043000000}"/>
            </a:ext>
          </a:extLst>
        </xdr:cNvPr>
        <xdr:cNvSpPr txBox="1"/>
      </xdr:nvSpPr>
      <xdr:spPr>
        <a:xfrm>
          <a:off x="7422727" y="4622059"/>
          <a:ext cx="2962532" cy="346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Firm Death Rate</a:t>
          </a:r>
        </a:p>
      </xdr:txBody>
    </xdr:sp>
    <xdr:clientData/>
  </xdr:twoCellAnchor>
  <xdr:twoCellAnchor editAs="oneCell">
    <xdr:from>
      <xdr:col>7</xdr:col>
      <xdr:colOff>179916</xdr:colOff>
      <xdr:row>0</xdr:row>
      <xdr:rowOff>105832</xdr:rowOff>
    </xdr:from>
    <xdr:to>
      <xdr:col>10</xdr:col>
      <xdr:colOff>183091</xdr:colOff>
      <xdr:row>3</xdr:row>
      <xdr:rowOff>40821</xdr:rowOff>
    </xdr:to>
    <mc:AlternateContent xmlns:mc="http://schemas.openxmlformats.org/markup-compatibility/2006" xmlns:a14="http://schemas.microsoft.com/office/drawing/2010/main">
      <mc:Choice Requires="a14">
        <xdr:graphicFrame macro="">
          <xdr:nvGraphicFramePr>
            <xdr:cNvPr id="74" name="year">
              <a:extLst>
                <a:ext uri="{FF2B5EF4-FFF2-40B4-BE49-F238E27FC236}">
                  <a16:creationId xmlns:a16="http://schemas.microsoft.com/office/drawing/2014/main" id="{00000000-0008-0000-0000-00004A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932332" y="105832"/>
              <a:ext cx="3680279" cy="560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486833</xdr:colOff>
      <xdr:row>1</xdr:row>
      <xdr:rowOff>35983</xdr:rowOff>
    </xdr:from>
    <xdr:to>
      <xdr:col>7</xdr:col>
      <xdr:colOff>174625</xdr:colOff>
      <xdr:row>2</xdr:row>
      <xdr:rowOff>169333</xdr:rowOff>
    </xdr:to>
    <xdr:sp macro="" textlink="">
      <xdr:nvSpPr>
        <xdr:cNvPr id="75" name="TextBox 74">
          <a:extLst>
            <a:ext uri="{FF2B5EF4-FFF2-40B4-BE49-F238E27FC236}">
              <a16:creationId xmlns:a16="http://schemas.microsoft.com/office/drawing/2014/main" id="{00000000-0008-0000-0000-00004B000000}"/>
            </a:ext>
          </a:extLst>
        </xdr:cNvPr>
        <xdr:cNvSpPr txBox="1"/>
      </xdr:nvSpPr>
      <xdr:spPr>
        <a:xfrm>
          <a:off x="8276167" y="226483"/>
          <a:ext cx="59266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t>Years</a:t>
          </a:r>
        </a:p>
        <a:p>
          <a:pPr algn="ctr"/>
          <a:endParaRPr lang="en-US" sz="1100" b="1" baseline="0"/>
        </a:p>
        <a:p>
          <a:endParaRPr lang="en-US" sz="1100"/>
        </a:p>
      </xdr:txBody>
    </xdr:sp>
    <xdr:clientData/>
  </xdr:twoCellAnchor>
  <xdr:twoCellAnchor editAs="oneCell">
    <xdr:from>
      <xdr:col>3</xdr:col>
      <xdr:colOff>269872</xdr:colOff>
      <xdr:row>0</xdr:row>
      <xdr:rowOff>114298</xdr:rowOff>
    </xdr:from>
    <xdr:to>
      <xdr:col>6</xdr:col>
      <xdr:colOff>338665</xdr:colOff>
      <xdr:row>3</xdr:row>
      <xdr:rowOff>54429</xdr:rowOff>
    </xdr:to>
    <mc:AlternateContent xmlns:mc="http://schemas.openxmlformats.org/markup-compatibility/2006" xmlns:a14="http://schemas.microsoft.com/office/drawing/2010/main">
      <mc:Choice Requires="a14">
        <xdr:graphicFrame macro="">
          <xdr:nvGraphicFramePr>
            <xdr:cNvPr id="76" name="FirmSize">
              <a:extLst>
                <a:ext uri="{FF2B5EF4-FFF2-40B4-BE49-F238E27FC236}">
                  <a16:creationId xmlns:a16="http://schemas.microsoft.com/office/drawing/2014/main" id="{00000000-0008-0000-0000-00004C000000}"/>
                </a:ext>
              </a:extLst>
            </xdr:cNvPr>
            <xdr:cNvGraphicFramePr/>
          </xdr:nvGraphicFramePr>
          <xdr:xfrm>
            <a:off x="0" y="0"/>
            <a:ext cx="0" cy="0"/>
          </xdr:xfrm>
          <a:graphic>
            <a:graphicData uri="http://schemas.microsoft.com/office/drawing/2010/slicer">
              <sle:slicer xmlns:sle="http://schemas.microsoft.com/office/drawing/2010/slicer" name="FirmSize"/>
            </a:graphicData>
          </a:graphic>
        </xdr:graphicFrame>
      </mc:Choice>
      <mc:Fallback xmlns="">
        <xdr:sp macro="" textlink="">
          <xdr:nvSpPr>
            <xdr:cNvPr id="0" name=""/>
            <xdr:cNvSpPr>
              <a:spLocks noTextEdit="1"/>
            </xdr:cNvSpPr>
          </xdr:nvSpPr>
          <xdr:spPr>
            <a:xfrm>
              <a:off x="4213673" y="114299"/>
              <a:ext cx="3811514" cy="51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5.464912152776" backgroundQuery="1" createdVersion="8" refreshedVersion="8" minRefreshableVersion="3" recordCount="0" supportSubquery="1" supportAdvancedDrill="1" xr:uid="{569B64E1-D869-4C4C-A2A0-AB3FB2DC56D9}">
  <cacheSource type="external" connectionId="3"/>
  <cacheFields count="8">
    <cacheField name="[Measures].[Total Firms]" caption="Total Firms" numFmtId="0" hierarchy="44" level="32767"/>
    <cacheField name="[Measures].[Average Entry Rate]" caption="Average Entry Rate" numFmtId="0" hierarchy="46" level="32767"/>
    <cacheField name="[Measures].[Total Employment]" caption="Total Employment" numFmtId="0" hierarchy="45" level="32767"/>
    <cacheField name="[Measures].[Average Exit Rate]" caption="Average Exit Rate" numFmtId="0" hierarchy="47" level="32767"/>
    <cacheField name="[Measures].[Average Reallocation Rate]" caption="Average Reallocation Rate" numFmtId="0" hierarchy="49" level="32767"/>
    <cacheField name="[Measures].[Average Survival Rate]" caption="Average Survival Rate" numFmtId="0" hierarchy="50" level="32767"/>
    <cacheField name="[FirmSize].[year].[year]" caption="year" numFmtId="0" hierarchy="1" level="1">
      <sharedItems containsSemiMixedTypes="0" containsNonDate="0" containsString="0"/>
    </cacheField>
    <cacheField name="[Measures].[Average Net Job Creation Rate]" caption="Average Net Job Creation Rate" numFmtId="0" hierarchy="48" level="32767"/>
  </cacheFields>
  <cacheHierarchies count="54">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FirmSize].[year]" caption="year" attribute="1" defaultMemberUniqueName="[FirmSize].[year].[All]" allUniqueName="[FirmSize].[year].[All]" dimensionUniqueName="[FirmSize]" displayFolder="" count="2" memberValueDatatype="20" unbalanced="0">
      <fieldsUsage count="2">
        <fieldUsage x="-1"/>
        <fieldUsage x="6"/>
      </fieldsUsage>
    </cacheHierarchy>
    <cacheHierarchy uniqueName="[FirmSize].[FirmSize]" caption="FirmSize" attribute="1" defaultMemberUniqueName="[FirmSize].[FirmSize].[All]" allUniqueName="[FirmSize].[FirmSize].[All]" dimensionUniqueName="[FirmSize]" displayFolder="" count="2" memberValueDatatype="130" unbalanced="0"/>
    <cacheHierarchy uniqueName="[FirmSize].[firms]" caption="firms" attribute="1" defaultMemberUniqueName="[FirmSize].[firms].[All]" allUniqueName="[FirmSize].[firms].[All]" dimensionUniqueName="[FirmSize]" displayFolder="" count="0" memberValueDatatype="20" unbalanced="0"/>
    <cacheHierarchy uniqueName="[FirmSize].[estabs]" caption="estabs" attribute="1" defaultMemberUniqueName="[FirmSize].[estabs].[All]" allUniqueName="[FirmSize].[estabs].[All]" dimensionUniqueName="[FirmSize]" displayFolder="" count="0" memberValueDatatype="20" unbalanced="0"/>
    <cacheHierarchy uniqueName="[FirmSize].[emp]" caption="emp" attribute="1" defaultMemberUniqueName="[FirmSize].[emp].[All]" allUniqueName="[FirmSize].[emp].[All]" dimensionUniqueName="[FirmSize]" displayFolder="" count="0" memberValueDatatype="20" unbalanced="0"/>
    <cacheHierarchy uniqueName="[FirmSize].[denom]" caption="denom" attribute="1" defaultMemberUniqueName="[FirmSize].[denom].[All]" allUniqueName="[FirmSize].[denom].[All]" dimensionUniqueName="[FirmSize]" displayFolder="" count="0" memberValueDatatype="20" unbalanced="0"/>
    <cacheHierarchy uniqueName="[FirmSize].[estabs_entry]" caption="estabs_entry" attribute="1" defaultMemberUniqueName="[FirmSize].[estabs_entry].[All]" allUniqueName="[FirmSize].[estabs_entry].[All]" dimensionUniqueName="[FirmSize]" displayFolder="" count="0" memberValueDatatype="20" unbalanced="0"/>
    <cacheHierarchy uniqueName="[FirmSize].[estabs_entry_rate]" caption="estabs_entry_rate" attribute="1" defaultMemberUniqueName="[FirmSize].[estabs_entry_rate].[All]" allUniqueName="[FirmSize].[estabs_entry_rate].[All]" dimensionUniqueName="[FirmSize]" displayFolder="" count="0" memberValueDatatype="5" unbalanced="0"/>
    <cacheHierarchy uniqueName="[FirmSize].[estabs_exit]" caption="estabs_exit" attribute="1" defaultMemberUniqueName="[FirmSize].[estabs_exit].[All]" allUniqueName="[FirmSize].[estabs_exit].[All]" dimensionUniqueName="[FirmSize]" displayFolder="" count="0" memberValueDatatype="20" unbalanced="0"/>
    <cacheHierarchy uniqueName="[FirmSize].[estabs_exit_rate]" caption="estabs_exit_rate" attribute="1" defaultMemberUniqueName="[FirmSize].[estabs_exit_rate].[All]" allUniqueName="[FirmSize].[estabs_exit_rate].[All]" dimensionUniqueName="[FirmSize]" displayFolder="" count="0" memberValueDatatype="5" unbalanced="0"/>
    <cacheHierarchy uniqueName="[FirmSize].[job_creation]" caption="job_creation" attribute="1" defaultMemberUniqueName="[FirmSize].[job_creation].[All]" allUniqueName="[FirmSize].[job_creation].[All]" dimensionUniqueName="[FirmSize]" displayFolder="" count="0" memberValueDatatype="20" unbalanced="0"/>
    <cacheHierarchy uniqueName="[FirmSize].[job_creation_births]" caption="job_creation_births" attribute="1" defaultMemberUniqueName="[FirmSize].[job_creation_births].[All]" allUniqueName="[FirmSize].[job_creation_births].[All]" dimensionUniqueName="[FirmSize]" displayFolder="" count="0" memberValueDatatype="20" unbalanced="0"/>
    <cacheHierarchy uniqueName="[FirmSize].[job_creation_continuers]" caption="job_creation_continuers" attribute="1" defaultMemberUniqueName="[FirmSize].[job_creation_continuers].[All]" allUniqueName="[FirmSize].[job_creation_continuers].[All]" dimensionUniqueName="[FirmSize]" displayFolder="" count="0" memberValueDatatype="20" unbalanced="0"/>
    <cacheHierarchy uniqueName="[FirmSize].[job_creation_rate_births]" caption="job_creation_rate_births" attribute="1" defaultMemberUniqueName="[FirmSize].[job_creation_rate_births].[All]" allUniqueName="[FirmSize].[job_creation_rate_births].[All]" dimensionUniqueName="[FirmSize]" displayFolder="" count="0" memberValueDatatype="5" unbalanced="0"/>
    <cacheHierarchy uniqueName="[FirmSize].[job_creation_rate]" caption="job_creation_rate" attribute="1" defaultMemberUniqueName="[FirmSize].[job_creation_rate].[All]" allUniqueName="[FirmSize].[job_creation_rate].[All]" dimensionUniqueName="[FirmSize]" displayFolder="" count="0" memberValueDatatype="5" unbalanced="0"/>
    <cacheHierarchy uniqueName="[FirmSize].[job_destruction]" caption="job_destruction" attribute="1" defaultMemberUniqueName="[FirmSize].[job_destruction].[All]" allUniqueName="[FirmSize].[job_destruction].[All]" dimensionUniqueName="[FirmSize]" displayFolder="" count="0" memberValueDatatype="20" unbalanced="0"/>
    <cacheHierarchy uniqueName="[FirmSize].[job_destruction_deaths]" caption="job_destruction_deaths" attribute="1" defaultMemberUniqueName="[FirmSize].[job_destruction_deaths].[All]" allUniqueName="[FirmSize].[job_destruction_deaths].[All]" dimensionUniqueName="[FirmSize]" displayFolder="" count="0" memberValueDatatype="20" unbalanced="0"/>
    <cacheHierarchy uniqueName="[FirmSize].[job_destruction_continuers]" caption="job_destruction_continuers" attribute="1" defaultMemberUniqueName="[FirmSize].[job_destruction_continuers].[All]" allUniqueName="[FirmSize].[job_destruction_continuers].[All]" dimensionUniqueName="[FirmSize]" displayFolder="" count="0" memberValueDatatype="20" unbalanced="0"/>
    <cacheHierarchy uniqueName="[FirmSize].[job_destruction_rate_deaths]" caption="job_destruction_rate_deaths" attribute="1" defaultMemberUniqueName="[FirmSize].[job_destruction_rate_deaths].[All]" allUniqueName="[FirmSize].[job_destruction_rate_deaths].[All]" dimensionUniqueName="[FirmSize]" displayFolder="" count="0" memberValueDatatype="5" unbalanced="0"/>
    <cacheHierarchy uniqueName="[FirmSize].[job_destruction_rate]" caption="job_destruction_rate" attribute="1" defaultMemberUniqueName="[FirmSize].[job_destruction_rate].[All]" allUniqueName="[FirmSize].[job_destruction_rate].[All]" dimensionUniqueName="[FirmSize]" displayFolder="" count="0" memberValueDatatype="5" unbalanced="0"/>
    <cacheHierarchy uniqueName="[FirmSize].[net_job_creation]" caption="net_job_creation" attribute="1" defaultMemberUniqueName="[FirmSize].[net_job_creation].[All]" allUniqueName="[FirmSize].[net_job_creation].[All]" dimensionUniqueName="[FirmSize]" displayFolder="" count="0" memberValueDatatype="20" unbalanced="0"/>
    <cacheHierarchy uniqueName="[FirmSize].[net_job_creation_rate]" caption="net_job_creation_rate" attribute="1" defaultMemberUniqueName="[FirmSize].[net_job_creation_rate].[All]" allUniqueName="[FirmSize].[net_job_creation_rate].[All]" dimensionUniqueName="[FirmSize]" displayFolder="" count="0" memberValueDatatype="5" unbalanced="0"/>
    <cacheHierarchy uniqueName="[FirmSize].[reallocation_rate]" caption="reallocation_rate" attribute="1" defaultMemberUniqueName="[FirmSize].[reallocation_rate].[All]" allUniqueName="[FirmSize].[reallocation_rate].[All]" dimensionUniqueName="[FirmSize]" displayFolder="" count="0" memberValueDatatype="5" unbalanced="0"/>
    <cacheHierarchy uniqueName="[FirmSize].[firmdeath_firms]" caption="firmdeath_firms" attribute="1" defaultMemberUniqueName="[FirmSize].[firmdeath_firms].[All]" allUniqueName="[FirmSize].[firmdeath_firms].[All]" dimensionUniqueName="[FirmSize]" displayFolder="" count="0" memberValueDatatype="20" unbalanced="0"/>
    <cacheHierarchy uniqueName="[FirmSize].[firmdeath_estabs]" caption="firmdeath_estabs" attribute="1" defaultMemberUniqueName="[FirmSize].[firmdeath_estabs].[All]" allUniqueName="[FirmSize].[firmdeath_estabs].[All]" dimensionUniqueName="[FirmSize]" displayFolder="" count="0" memberValueDatatype="20" unbalanced="0"/>
    <cacheHierarchy uniqueName="[FirmSize].[firmdeath_emp]" caption="firmdeath_emp" attribute="1" defaultMemberUniqueName="[FirmSize].[firmdeath_emp].[All]" allUniqueName="[FirmSize].[firmdeath_emp].[All]" dimensionUniqueName="[FirmSize]" displayFolder="" count="0" memberValueDatatype="20" unbalanced="0"/>
    <cacheHierarchy uniqueName="[FirmSize].[Firm Size Order Ranking]" caption="Firm Size Order Ranking" attribute="1" defaultMemberUniqueName="[FirmSize].[Firm Size Order Ranking].[All]" allUniqueName="[FirmSize].[Firm Size Order Ranking].[All]" dimensionUniqueName="[FirmSize]" displayFolder="" count="0" memberValueDatatype="20" unbalanced="0"/>
    <cacheHierarchy uniqueName="[FirmSize].[Survival Rate]" caption="Survival Rate" attribute="1" defaultMemberUniqueName="[FirmSize].[Survival Rate].[All]" allUniqueName="[FirmSize].[Survival Rate].[All]" dimensionUniqueName="[FirmSize]" displayFolder="" count="0" memberValueDatatype="5" unbalanced="0"/>
    <cacheHierarchy uniqueName="[FirmSize].[Death Rate]" caption="Death Rate" attribute="1" defaultMemberUniqueName="[FirmSize].[Death Rate].[All]" allUniqueName="[FirmSize].[Death Rate].[All]" dimensionUniqueName="[FirmSize]" displayFolder="" count="0" memberValueDatatype="5" unbalanced="0"/>
    <cacheHierarchy uniqueName="[Measures].[Sum of firms]" caption="Sum of firms" measure="1" displayFolder="" measureGroup="FirmSize" count="0">
      <extLst>
        <ext xmlns:x15="http://schemas.microsoft.com/office/spreadsheetml/2010/11/main" uri="{B97F6D7D-B522-45F9-BDA1-12C45D357490}">
          <x15:cacheHierarchy aggregatedColumn="3"/>
        </ext>
      </extLst>
    </cacheHierarchy>
    <cacheHierarchy uniqueName="[Measures].[Sum of emp]" caption="Sum of emp" measure="1" displayFolder="" measureGroup="FirmSize" count="0">
      <extLst>
        <ext xmlns:x15="http://schemas.microsoft.com/office/spreadsheetml/2010/11/main" uri="{B97F6D7D-B522-45F9-BDA1-12C45D357490}">
          <x15:cacheHierarchy aggregatedColumn="5"/>
        </ext>
      </extLst>
    </cacheHierarchy>
    <cacheHierarchy uniqueName="[Measures].[Sum of estabs_entry_rate]" caption="Sum of estabs_entry_rate" measure="1" displayFolder="" measureGroup="FirmSize" count="0">
      <extLst>
        <ext xmlns:x15="http://schemas.microsoft.com/office/spreadsheetml/2010/11/main" uri="{B97F6D7D-B522-45F9-BDA1-12C45D357490}">
          <x15:cacheHierarchy aggregatedColumn="8"/>
        </ext>
      </extLst>
    </cacheHierarchy>
    <cacheHierarchy uniqueName="[Measures].[Sum of estabs_exit_rate]" caption="Sum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net_job_creation_rate]" caption="Sum of net_job_creation_rate" measure="1" displayFolder="" measureGroup="FirmSize" count="0">
      <extLst>
        <ext xmlns:x15="http://schemas.microsoft.com/office/spreadsheetml/2010/11/main" uri="{B97F6D7D-B522-45F9-BDA1-12C45D357490}">
          <x15:cacheHierarchy aggregatedColumn="22"/>
        </ext>
      </extLst>
    </cacheHierarchy>
    <cacheHierarchy uniqueName="[Measures].[Sum of reallocation_rate]" caption="Sum of reallocation_rate" measure="1" displayFolder="" measureGroup="FirmSize" count="0">
      <extLst>
        <ext xmlns:x15="http://schemas.microsoft.com/office/spreadsheetml/2010/11/main" uri="{B97F6D7D-B522-45F9-BDA1-12C45D357490}">
          <x15:cacheHierarchy aggregatedColumn="23"/>
        </ext>
      </extLst>
    </cacheHierarchy>
    <cacheHierarchy uniqueName="[Measures].[Sum of estabs]" caption="Sum of estabs" measure="1" displayFolder="" measureGroup="FirmSize" count="0">
      <extLst>
        <ext xmlns:x15="http://schemas.microsoft.com/office/spreadsheetml/2010/11/main" uri="{B97F6D7D-B522-45F9-BDA1-12C45D357490}">
          <x15:cacheHierarchy aggregatedColumn="4"/>
        </ext>
      </extLst>
    </cacheHierarchy>
    <cacheHierarchy uniqueName="[Measures].[Distinct Count of estabs_entry_rate]" caption="Distinct Count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ntry_rate]" caption="Average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xit_rate]" caption="Average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job_creation]" caption="Sum of job_creation" measure="1" displayFolder="" measureGroup="FirmSize" count="0">
      <extLst>
        <ext xmlns:x15="http://schemas.microsoft.com/office/spreadsheetml/2010/11/main" uri="{B97F6D7D-B522-45F9-BDA1-12C45D357490}">
          <x15:cacheHierarchy aggregatedColumn="11"/>
        </ext>
      </extLst>
    </cacheHierarchy>
    <cacheHierarchy uniqueName="[Measures].[Sum of job_destruction]" caption="Sum of job_destruction" measure="1" displayFolder="" measureGroup="FirmSize" count="0">
      <extLst>
        <ext xmlns:x15="http://schemas.microsoft.com/office/spreadsheetml/2010/11/main" uri="{B97F6D7D-B522-45F9-BDA1-12C45D357490}">
          <x15:cacheHierarchy aggregatedColumn="16"/>
        </ext>
      </extLst>
    </cacheHierarchy>
    <cacheHierarchy uniqueName="[Measures].[Sum of Death Rate]" caption="Sum of Death Rate" measure="1" displayFolder="" measureGroup="FirmSize" count="0">
      <extLst>
        <ext xmlns:x15="http://schemas.microsoft.com/office/spreadsheetml/2010/11/main" uri="{B97F6D7D-B522-45F9-BDA1-12C45D357490}">
          <x15:cacheHierarchy aggregatedColumn="29"/>
        </ext>
      </extLst>
    </cacheHierarchy>
    <cacheHierarchy uniqueName="[Measures].[Average of Death Rate]" caption="Average of Death Rate" measure="1" displayFolder="" measureGroup="FirmSize" count="0">
      <extLst>
        <ext xmlns:x15="http://schemas.microsoft.com/office/spreadsheetml/2010/11/main" uri="{B97F6D7D-B522-45F9-BDA1-12C45D357490}">
          <x15:cacheHierarchy aggregatedColumn="29"/>
        </ext>
      </extLst>
    </cacheHierarchy>
    <cacheHierarchy uniqueName="[Measures].[Total Firms]" caption="Total Firms" measure="1" displayFolder="" measureGroup="All Measures" count="0" oneField="1">
      <fieldsUsage count="1">
        <fieldUsage x="0"/>
      </fieldsUsage>
    </cacheHierarchy>
    <cacheHierarchy uniqueName="[Measures].[Total Employment]" caption="Total Employment" measure="1" displayFolder="" measureGroup="All Measures" count="0" oneField="1">
      <fieldsUsage count="1">
        <fieldUsage x="2"/>
      </fieldsUsage>
    </cacheHierarchy>
    <cacheHierarchy uniqueName="[Measures].[Average Entry Rate]" caption="Average Entry Rate" measure="1" displayFolder="" measureGroup="All Measures" count="0" oneField="1">
      <fieldsUsage count="1">
        <fieldUsage x="1"/>
      </fieldsUsage>
    </cacheHierarchy>
    <cacheHierarchy uniqueName="[Measures].[Average Exit Rate]" caption="Average Exit Rate" measure="1" displayFolder="" measureGroup="All Measures" count="0" oneField="1">
      <fieldsUsage count="1">
        <fieldUsage x="3"/>
      </fieldsUsage>
    </cacheHierarchy>
    <cacheHierarchy uniqueName="[Measures].[Average Net Job Creation Rate]" caption="Average Net Job Creation Rate" measure="1" displayFolder="" measureGroup="All Measures" count="0" oneField="1">
      <fieldsUsage count="1">
        <fieldUsage x="7"/>
      </fieldsUsage>
    </cacheHierarchy>
    <cacheHierarchy uniqueName="[Measures].[Average Reallocation Rate]" caption="Average Reallocation Rate" measure="1" displayFolder="" measureGroup="All Measures" count="0" oneField="1">
      <fieldsUsage count="1">
        <fieldUsage x="4"/>
      </fieldsUsage>
    </cacheHierarchy>
    <cacheHierarchy uniqueName="[Measures].[Average Survival Rate]" caption="Average Survival Rate" measure="1" displayFolder="" measureGroup="All Measures" count="0" oneField="1">
      <fieldsUsage count="1">
        <fieldUsage x="5"/>
      </fieldsUsage>
    </cacheHierarchy>
    <cacheHierarchy uniqueName="[Measures].[__XL_Count FirmSize]" caption="__XL_Count FirmSize" measure="1" displayFolder="" measureGroup="FirmSize"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3">
    <dimension name="All Measures" uniqueName="[All Measures]" caption="All Measures"/>
    <dimension name="FirmSize" uniqueName="[FirmSize]" caption="FirmSize"/>
    <dimension measure="1" name="Measures" uniqueName="[Measures]" caption="Measures"/>
  </dimensions>
  <measureGroups count="2">
    <measureGroup name="All Measures" caption="All Measures"/>
    <measureGroup name="FirmSize" caption="FirmSiz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5.464912731484" backgroundQuery="1" createdVersion="8" refreshedVersion="8" minRefreshableVersion="3" recordCount="0" supportSubquery="1" supportAdvancedDrill="1" xr:uid="{F9FF4B1A-F518-428D-A220-49756A497149}">
  <cacheSource type="external" connectionId="3"/>
  <cacheFields count="5">
    <cacheField name="[FirmSize].[FirmSize].[FirmSize]" caption="FirmSize" numFmtId="0" hierarchy="2" level="1">
      <sharedItems count="10">
        <s v="1 to 4"/>
        <s v="5 to 9"/>
        <s v="10 to 19"/>
        <s v="20 to 99"/>
        <s v="100 to 499"/>
        <s v="500 to 999"/>
        <s v="1000 to 2499"/>
        <s v="2500 to 4999"/>
        <s v="5000 to 9999"/>
        <s v="10000+"/>
      </sharedItems>
    </cacheField>
    <cacheField name="[Measures].[Sum of firms]" caption="Sum of firms" numFmtId="0" hierarchy="30" level="32767"/>
    <cacheField name="[Measures].[Sum of estabs]" caption="Sum of estabs" numFmtId="0" hierarchy="36" level="32767"/>
    <cacheField name="[Measures].[Sum of emp]" caption="Sum of emp" numFmtId="0" hierarchy="31" level="32767"/>
    <cacheField name="[FirmSize].[year].[year]" caption="year" numFmtId="0" hierarchy="1" level="1">
      <sharedItems containsSemiMixedTypes="0" containsNonDate="0" containsString="0"/>
    </cacheField>
  </cacheFields>
  <cacheHierarchies count="54">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FirmSize].[year]" caption="year" attribute="1" defaultMemberUniqueName="[FirmSize].[year].[All]" allUniqueName="[FirmSize].[year].[All]" dimensionUniqueName="[FirmSize]" displayFolder="" count="2" memberValueDatatype="20" unbalanced="0">
      <fieldsUsage count="2">
        <fieldUsage x="-1"/>
        <fieldUsage x="4"/>
      </fieldsUsage>
    </cacheHierarchy>
    <cacheHierarchy uniqueName="[FirmSize].[FirmSize]" caption="FirmSize" attribute="1" defaultMemberUniqueName="[FirmSize].[FirmSize].[All]" allUniqueName="[FirmSize].[FirmSize].[All]" dimensionUniqueName="[FirmSize]" displayFolder="" count="2" memberValueDatatype="130" unbalanced="0">
      <fieldsUsage count="2">
        <fieldUsage x="-1"/>
        <fieldUsage x="0"/>
      </fieldsUsage>
    </cacheHierarchy>
    <cacheHierarchy uniqueName="[FirmSize].[firms]" caption="firms" attribute="1" defaultMemberUniqueName="[FirmSize].[firms].[All]" allUniqueName="[FirmSize].[firms].[All]" dimensionUniqueName="[FirmSize]" displayFolder="" count="0" memberValueDatatype="20" unbalanced="0"/>
    <cacheHierarchy uniqueName="[FirmSize].[estabs]" caption="estabs" attribute="1" defaultMemberUniqueName="[FirmSize].[estabs].[All]" allUniqueName="[FirmSize].[estabs].[All]" dimensionUniqueName="[FirmSize]" displayFolder="" count="0" memberValueDatatype="20" unbalanced="0"/>
    <cacheHierarchy uniqueName="[FirmSize].[emp]" caption="emp" attribute="1" defaultMemberUniqueName="[FirmSize].[emp].[All]" allUniqueName="[FirmSize].[emp].[All]" dimensionUniqueName="[FirmSize]" displayFolder="" count="0" memberValueDatatype="20" unbalanced="0"/>
    <cacheHierarchy uniqueName="[FirmSize].[denom]" caption="denom" attribute="1" defaultMemberUniqueName="[FirmSize].[denom].[All]" allUniqueName="[FirmSize].[denom].[All]" dimensionUniqueName="[FirmSize]" displayFolder="" count="0" memberValueDatatype="20" unbalanced="0"/>
    <cacheHierarchy uniqueName="[FirmSize].[estabs_entry]" caption="estabs_entry" attribute="1" defaultMemberUniqueName="[FirmSize].[estabs_entry].[All]" allUniqueName="[FirmSize].[estabs_entry].[All]" dimensionUniqueName="[FirmSize]" displayFolder="" count="0" memberValueDatatype="20" unbalanced="0"/>
    <cacheHierarchy uniqueName="[FirmSize].[estabs_entry_rate]" caption="estabs_entry_rate" attribute="1" defaultMemberUniqueName="[FirmSize].[estabs_entry_rate].[All]" allUniqueName="[FirmSize].[estabs_entry_rate].[All]" dimensionUniqueName="[FirmSize]" displayFolder="" count="0" memberValueDatatype="5" unbalanced="0"/>
    <cacheHierarchy uniqueName="[FirmSize].[estabs_exit]" caption="estabs_exit" attribute="1" defaultMemberUniqueName="[FirmSize].[estabs_exit].[All]" allUniqueName="[FirmSize].[estabs_exit].[All]" dimensionUniqueName="[FirmSize]" displayFolder="" count="0" memberValueDatatype="20" unbalanced="0"/>
    <cacheHierarchy uniqueName="[FirmSize].[estabs_exit_rate]" caption="estabs_exit_rate" attribute="1" defaultMemberUniqueName="[FirmSize].[estabs_exit_rate].[All]" allUniqueName="[FirmSize].[estabs_exit_rate].[All]" dimensionUniqueName="[FirmSize]" displayFolder="" count="0" memberValueDatatype="5" unbalanced="0"/>
    <cacheHierarchy uniqueName="[FirmSize].[job_creation]" caption="job_creation" attribute="1" defaultMemberUniqueName="[FirmSize].[job_creation].[All]" allUniqueName="[FirmSize].[job_creation].[All]" dimensionUniqueName="[FirmSize]" displayFolder="" count="0" memberValueDatatype="20" unbalanced="0"/>
    <cacheHierarchy uniqueName="[FirmSize].[job_creation_births]" caption="job_creation_births" attribute="1" defaultMemberUniqueName="[FirmSize].[job_creation_births].[All]" allUniqueName="[FirmSize].[job_creation_births].[All]" dimensionUniqueName="[FirmSize]" displayFolder="" count="0" memberValueDatatype="20" unbalanced="0"/>
    <cacheHierarchy uniqueName="[FirmSize].[job_creation_continuers]" caption="job_creation_continuers" attribute="1" defaultMemberUniqueName="[FirmSize].[job_creation_continuers].[All]" allUniqueName="[FirmSize].[job_creation_continuers].[All]" dimensionUniqueName="[FirmSize]" displayFolder="" count="0" memberValueDatatype="20" unbalanced="0"/>
    <cacheHierarchy uniqueName="[FirmSize].[job_creation_rate_births]" caption="job_creation_rate_births" attribute="1" defaultMemberUniqueName="[FirmSize].[job_creation_rate_births].[All]" allUniqueName="[FirmSize].[job_creation_rate_births].[All]" dimensionUniqueName="[FirmSize]" displayFolder="" count="0" memberValueDatatype="5" unbalanced="0"/>
    <cacheHierarchy uniqueName="[FirmSize].[job_creation_rate]" caption="job_creation_rate" attribute="1" defaultMemberUniqueName="[FirmSize].[job_creation_rate].[All]" allUniqueName="[FirmSize].[job_creation_rate].[All]" dimensionUniqueName="[FirmSize]" displayFolder="" count="0" memberValueDatatype="5" unbalanced="0"/>
    <cacheHierarchy uniqueName="[FirmSize].[job_destruction]" caption="job_destruction" attribute="1" defaultMemberUniqueName="[FirmSize].[job_destruction].[All]" allUniqueName="[FirmSize].[job_destruction].[All]" dimensionUniqueName="[FirmSize]" displayFolder="" count="0" memberValueDatatype="20" unbalanced="0"/>
    <cacheHierarchy uniqueName="[FirmSize].[job_destruction_deaths]" caption="job_destruction_deaths" attribute="1" defaultMemberUniqueName="[FirmSize].[job_destruction_deaths].[All]" allUniqueName="[FirmSize].[job_destruction_deaths].[All]" dimensionUniqueName="[FirmSize]" displayFolder="" count="0" memberValueDatatype="20" unbalanced="0"/>
    <cacheHierarchy uniqueName="[FirmSize].[job_destruction_continuers]" caption="job_destruction_continuers" attribute="1" defaultMemberUniqueName="[FirmSize].[job_destruction_continuers].[All]" allUniqueName="[FirmSize].[job_destruction_continuers].[All]" dimensionUniqueName="[FirmSize]" displayFolder="" count="0" memberValueDatatype="20" unbalanced="0"/>
    <cacheHierarchy uniqueName="[FirmSize].[job_destruction_rate_deaths]" caption="job_destruction_rate_deaths" attribute="1" defaultMemberUniqueName="[FirmSize].[job_destruction_rate_deaths].[All]" allUniqueName="[FirmSize].[job_destruction_rate_deaths].[All]" dimensionUniqueName="[FirmSize]" displayFolder="" count="0" memberValueDatatype="5" unbalanced="0"/>
    <cacheHierarchy uniqueName="[FirmSize].[job_destruction_rate]" caption="job_destruction_rate" attribute="1" defaultMemberUniqueName="[FirmSize].[job_destruction_rate].[All]" allUniqueName="[FirmSize].[job_destruction_rate].[All]" dimensionUniqueName="[FirmSize]" displayFolder="" count="0" memberValueDatatype="5" unbalanced="0"/>
    <cacheHierarchy uniqueName="[FirmSize].[net_job_creation]" caption="net_job_creation" attribute="1" defaultMemberUniqueName="[FirmSize].[net_job_creation].[All]" allUniqueName="[FirmSize].[net_job_creation].[All]" dimensionUniqueName="[FirmSize]" displayFolder="" count="0" memberValueDatatype="20" unbalanced="0"/>
    <cacheHierarchy uniqueName="[FirmSize].[net_job_creation_rate]" caption="net_job_creation_rate" attribute="1" defaultMemberUniqueName="[FirmSize].[net_job_creation_rate].[All]" allUniqueName="[FirmSize].[net_job_creation_rate].[All]" dimensionUniqueName="[FirmSize]" displayFolder="" count="0" memberValueDatatype="5" unbalanced="0"/>
    <cacheHierarchy uniqueName="[FirmSize].[reallocation_rate]" caption="reallocation_rate" attribute="1" defaultMemberUniqueName="[FirmSize].[reallocation_rate].[All]" allUniqueName="[FirmSize].[reallocation_rate].[All]" dimensionUniqueName="[FirmSize]" displayFolder="" count="0" memberValueDatatype="5" unbalanced="0"/>
    <cacheHierarchy uniqueName="[FirmSize].[firmdeath_firms]" caption="firmdeath_firms" attribute="1" defaultMemberUniqueName="[FirmSize].[firmdeath_firms].[All]" allUniqueName="[FirmSize].[firmdeath_firms].[All]" dimensionUniqueName="[FirmSize]" displayFolder="" count="0" memberValueDatatype="20" unbalanced="0"/>
    <cacheHierarchy uniqueName="[FirmSize].[firmdeath_estabs]" caption="firmdeath_estabs" attribute="1" defaultMemberUniqueName="[FirmSize].[firmdeath_estabs].[All]" allUniqueName="[FirmSize].[firmdeath_estabs].[All]" dimensionUniqueName="[FirmSize]" displayFolder="" count="0" memberValueDatatype="20" unbalanced="0"/>
    <cacheHierarchy uniqueName="[FirmSize].[firmdeath_emp]" caption="firmdeath_emp" attribute="1" defaultMemberUniqueName="[FirmSize].[firmdeath_emp].[All]" allUniqueName="[FirmSize].[firmdeath_emp].[All]" dimensionUniqueName="[FirmSize]" displayFolder="" count="0" memberValueDatatype="20" unbalanced="0"/>
    <cacheHierarchy uniqueName="[FirmSize].[Firm Size Order Ranking]" caption="Firm Size Order Ranking" attribute="1" defaultMemberUniqueName="[FirmSize].[Firm Size Order Ranking].[All]" allUniqueName="[FirmSize].[Firm Size Order Ranking].[All]" dimensionUniqueName="[FirmSize]" displayFolder="" count="0" memberValueDatatype="20" unbalanced="0"/>
    <cacheHierarchy uniqueName="[FirmSize].[Survival Rate]" caption="Survival Rate" attribute="1" defaultMemberUniqueName="[FirmSize].[Survival Rate].[All]" allUniqueName="[FirmSize].[Survival Rate].[All]" dimensionUniqueName="[FirmSize]" displayFolder="" count="0" memberValueDatatype="5" unbalanced="0"/>
    <cacheHierarchy uniqueName="[FirmSize].[Death Rate]" caption="Death Rate" attribute="1" defaultMemberUniqueName="[FirmSize].[Death Rate].[All]" allUniqueName="[FirmSize].[Death Rate].[All]" dimensionUniqueName="[FirmSize]" displayFolder="" count="0" memberValueDatatype="5" unbalanced="0"/>
    <cacheHierarchy uniqueName="[Measures].[Sum of firms]" caption="Sum of firms" measure="1" displayFolder="" measureGroup="FirmSize" count="0" oneField="1">
      <fieldsUsage count="1">
        <fieldUsage x="1"/>
      </fieldsUsage>
      <extLst>
        <ext xmlns:x15="http://schemas.microsoft.com/office/spreadsheetml/2010/11/main" uri="{B97F6D7D-B522-45F9-BDA1-12C45D357490}">
          <x15:cacheHierarchy aggregatedColumn="3"/>
        </ext>
      </extLst>
    </cacheHierarchy>
    <cacheHierarchy uniqueName="[Measures].[Sum of emp]" caption="Sum of emp" measure="1" displayFolder="" measureGroup="FirmSize" count="0" oneField="1">
      <fieldsUsage count="1">
        <fieldUsage x="3"/>
      </fieldsUsage>
      <extLst>
        <ext xmlns:x15="http://schemas.microsoft.com/office/spreadsheetml/2010/11/main" uri="{B97F6D7D-B522-45F9-BDA1-12C45D357490}">
          <x15:cacheHierarchy aggregatedColumn="5"/>
        </ext>
      </extLst>
    </cacheHierarchy>
    <cacheHierarchy uniqueName="[Measures].[Sum of estabs_entry_rate]" caption="Sum of estabs_entry_rate" measure="1" displayFolder="" measureGroup="FirmSize" count="0">
      <extLst>
        <ext xmlns:x15="http://schemas.microsoft.com/office/spreadsheetml/2010/11/main" uri="{B97F6D7D-B522-45F9-BDA1-12C45D357490}">
          <x15:cacheHierarchy aggregatedColumn="8"/>
        </ext>
      </extLst>
    </cacheHierarchy>
    <cacheHierarchy uniqueName="[Measures].[Sum of estabs_exit_rate]" caption="Sum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net_job_creation_rate]" caption="Sum of net_job_creation_rate" measure="1" displayFolder="" measureGroup="FirmSize" count="0">
      <extLst>
        <ext xmlns:x15="http://schemas.microsoft.com/office/spreadsheetml/2010/11/main" uri="{B97F6D7D-B522-45F9-BDA1-12C45D357490}">
          <x15:cacheHierarchy aggregatedColumn="22"/>
        </ext>
      </extLst>
    </cacheHierarchy>
    <cacheHierarchy uniqueName="[Measures].[Sum of reallocation_rate]" caption="Sum of reallocation_rate" measure="1" displayFolder="" measureGroup="FirmSize" count="0">
      <extLst>
        <ext xmlns:x15="http://schemas.microsoft.com/office/spreadsheetml/2010/11/main" uri="{B97F6D7D-B522-45F9-BDA1-12C45D357490}">
          <x15:cacheHierarchy aggregatedColumn="23"/>
        </ext>
      </extLst>
    </cacheHierarchy>
    <cacheHierarchy uniqueName="[Measures].[Sum of estabs]" caption="Sum of estabs" measure="1" displayFolder="" measureGroup="FirmSize" count="0" oneField="1">
      <fieldsUsage count="1">
        <fieldUsage x="2"/>
      </fieldsUsage>
      <extLst>
        <ext xmlns:x15="http://schemas.microsoft.com/office/spreadsheetml/2010/11/main" uri="{B97F6D7D-B522-45F9-BDA1-12C45D357490}">
          <x15:cacheHierarchy aggregatedColumn="4"/>
        </ext>
      </extLst>
    </cacheHierarchy>
    <cacheHierarchy uniqueName="[Measures].[Distinct Count of estabs_entry_rate]" caption="Distinct Count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ntry_rate]" caption="Average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xit_rate]" caption="Average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job_creation]" caption="Sum of job_creation" measure="1" displayFolder="" measureGroup="FirmSize" count="0">
      <extLst>
        <ext xmlns:x15="http://schemas.microsoft.com/office/spreadsheetml/2010/11/main" uri="{B97F6D7D-B522-45F9-BDA1-12C45D357490}">
          <x15:cacheHierarchy aggregatedColumn="11"/>
        </ext>
      </extLst>
    </cacheHierarchy>
    <cacheHierarchy uniqueName="[Measures].[Sum of job_destruction]" caption="Sum of job_destruction" measure="1" displayFolder="" measureGroup="FirmSize" count="0">
      <extLst>
        <ext xmlns:x15="http://schemas.microsoft.com/office/spreadsheetml/2010/11/main" uri="{B97F6D7D-B522-45F9-BDA1-12C45D357490}">
          <x15:cacheHierarchy aggregatedColumn="16"/>
        </ext>
      </extLst>
    </cacheHierarchy>
    <cacheHierarchy uniqueName="[Measures].[Sum of Death Rate]" caption="Sum of Death Rate" measure="1" displayFolder="" measureGroup="FirmSize" count="0">
      <extLst>
        <ext xmlns:x15="http://schemas.microsoft.com/office/spreadsheetml/2010/11/main" uri="{B97F6D7D-B522-45F9-BDA1-12C45D357490}">
          <x15:cacheHierarchy aggregatedColumn="29"/>
        </ext>
      </extLst>
    </cacheHierarchy>
    <cacheHierarchy uniqueName="[Measures].[Average of Death Rate]" caption="Average of Death Rate" measure="1" displayFolder="" measureGroup="FirmSize" count="0">
      <extLst>
        <ext xmlns:x15="http://schemas.microsoft.com/office/spreadsheetml/2010/11/main" uri="{B97F6D7D-B522-45F9-BDA1-12C45D357490}">
          <x15:cacheHierarchy aggregatedColumn="29"/>
        </ext>
      </extLst>
    </cacheHierarchy>
    <cacheHierarchy uniqueName="[Measures].[Total Firms]" caption="Total Firms" measure="1" displayFolder="" measureGroup="All Measures" count="0"/>
    <cacheHierarchy uniqueName="[Measures].[Total Employment]" caption="Total Employment" measure="1" displayFolder="" measureGroup="All Measures" count="0"/>
    <cacheHierarchy uniqueName="[Measures].[Average Entry Rate]" caption="Average Entry Rate" measure="1" displayFolder="" measureGroup="All Measures" count="0"/>
    <cacheHierarchy uniqueName="[Measures].[Average Exit Rate]" caption="Average Exit Rate" measure="1" displayFolder="" measureGroup="All Measures" count="0"/>
    <cacheHierarchy uniqueName="[Measures].[Average Net Job Creation Rate]" caption="Average Net Job Creation Rate" measure="1" displayFolder="" measureGroup="All Measures" count="0"/>
    <cacheHierarchy uniqueName="[Measures].[Average Reallocation Rate]" caption="Average Reallocation Rate" measure="1" displayFolder="" measureGroup="All Measures" count="0"/>
    <cacheHierarchy uniqueName="[Measures].[Average Survival Rate]" caption="Average Survival Rate" measure="1" displayFolder="" measureGroup="All Measures" count="0"/>
    <cacheHierarchy uniqueName="[Measures].[__XL_Count FirmSize]" caption="__XL_Count FirmSize" measure="1" displayFolder="" measureGroup="FirmSize"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3">
    <dimension name="All Measures" uniqueName="[All Measures]" caption="All Measures"/>
    <dimension name="FirmSize" uniqueName="[FirmSize]" caption="FirmSize"/>
    <dimension measure="1" name="Measures" uniqueName="[Measures]" caption="Measures"/>
  </dimensions>
  <measureGroups count="2">
    <measureGroup name="All Measures" caption="All Measures"/>
    <measureGroup name="FirmSize" caption="FirmSiz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5.464913194446" backgroundQuery="1" createdVersion="8" refreshedVersion="8" minRefreshableVersion="3" recordCount="0" supportSubquery="1" supportAdvancedDrill="1" xr:uid="{F5C822A5-BDC5-4EFC-8C31-F3A663314305}">
  <cacheSource type="external" connectionId="3"/>
  <cacheFields count="3">
    <cacheField name="[FirmSize].[FirmSize].[FirmSize]" caption="FirmSize" numFmtId="0" hierarchy="2" level="1">
      <sharedItems count="10">
        <s v="1 to 4"/>
        <s v="5 to 9"/>
        <s v="10 to 19"/>
        <s v="20 to 99"/>
        <s v="100 to 499"/>
        <s v="500 to 999"/>
        <s v="1000 to 2499"/>
        <s v="2500 to 4999"/>
        <s v="5000 to 9999"/>
        <s v="10000+"/>
      </sharedItems>
    </cacheField>
    <cacheField name="[Measures].[Sum of firms]" caption="Sum of firms" numFmtId="0" hierarchy="30" level="32767"/>
    <cacheField name="[FirmSize].[year].[year]" caption="year" numFmtId="0" hierarchy="1" level="1">
      <sharedItems containsSemiMixedTypes="0" containsNonDate="0" containsString="0"/>
    </cacheField>
  </cacheFields>
  <cacheHierarchies count="54">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FirmSize].[year]" caption="year" attribute="1" defaultMemberUniqueName="[FirmSize].[year].[All]" allUniqueName="[FirmSize].[year].[All]" dimensionUniqueName="[FirmSize]" displayFolder="" count="2" memberValueDatatype="20" unbalanced="0">
      <fieldsUsage count="2">
        <fieldUsage x="-1"/>
        <fieldUsage x="2"/>
      </fieldsUsage>
    </cacheHierarchy>
    <cacheHierarchy uniqueName="[FirmSize].[FirmSize]" caption="FirmSize" attribute="1" defaultMemberUniqueName="[FirmSize].[FirmSize].[All]" allUniqueName="[FirmSize].[FirmSize].[All]" dimensionUniqueName="[FirmSize]" displayFolder="" count="2" memberValueDatatype="130" unbalanced="0">
      <fieldsUsage count="2">
        <fieldUsage x="-1"/>
        <fieldUsage x="0"/>
      </fieldsUsage>
    </cacheHierarchy>
    <cacheHierarchy uniqueName="[FirmSize].[firms]" caption="firms" attribute="1" defaultMemberUniqueName="[FirmSize].[firms].[All]" allUniqueName="[FirmSize].[firms].[All]" dimensionUniqueName="[FirmSize]" displayFolder="" count="0" memberValueDatatype="20" unbalanced="0"/>
    <cacheHierarchy uniqueName="[FirmSize].[estabs]" caption="estabs" attribute="1" defaultMemberUniqueName="[FirmSize].[estabs].[All]" allUniqueName="[FirmSize].[estabs].[All]" dimensionUniqueName="[FirmSize]" displayFolder="" count="0" memberValueDatatype="20" unbalanced="0"/>
    <cacheHierarchy uniqueName="[FirmSize].[emp]" caption="emp" attribute="1" defaultMemberUniqueName="[FirmSize].[emp].[All]" allUniqueName="[FirmSize].[emp].[All]" dimensionUniqueName="[FirmSize]" displayFolder="" count="0" memberValueDatatype="20" unbalanced="0"/>
    <cacheHierarchy uniqueName="[FirmSize].[denom]" caption="denom" attribute="1" defaultMemberUniqueName="[FirmSize].[denom].[All]" allUniqueName="[FirmSize].[denom].[All]" dimensionUniqueName="[FirmSize]" displayFolder="" count="0" memberValueDatatype="20" unbalanced="0"/>
    <cacheHierarchy uniqueName="[FirmSize].[estabs_entry]" caption="estabs_entry" attribute="1" defaultMemberUniqueName="[FirmSize].[estabs_entry].[All]" allUniqueName="[FirmSize].[estabs_entry].[All]" dimensionUniqueName="[FirmSize]" displayFolder="" count="0" memberValueDatatype="20" unbalanced="0"/>
    <cacheHierarchy uniqueName="[FirmSize].[estabs_entry_rate]" caption="estabs_entry_rate" attribute="1" defaultMemberUniqueName="[FirmSize].[estabs_entry_rate].[All]" allUniqueName="[FirmSize].[estabs_entry_rate].[All]" dimensionUniqueName="[FirmSize]" displayFolder="" count="0" memberValueDatatype="5" unbalanced="0"/>
    <cacheHierarchy uniqueName="[FirmSize].[estabs_exit]" caption="estabs_exit" attribute="1" defaultMemberUniqueName="[FirmSize].[estabs_exit].[All]" allUniqueName="[FirmSize].[estabs_exit].[All]" dimensionUniqueName="[FirmSize]" displayFolder="" count="0" memberValueDatatype="20" unbalanced="0"/>
    <cacheHierarchy uniqueName="[FirmSize].[estabs_exit_rate]" caption="estabs_exit_rate" attribute="1" defaultMemberUniqueName="[FirmSize].[estabs_exit_rate].[All]" allUniqueName="[FirmSize].[estabs_exit_rate].[All]" dimensionUniqueName="[FirmSize]" displayFolder="" count="0" memberValueDatatype="5" unbalanced="0"/>
    <cacheHierarchy uniqueName="[FirmSize].[job_creation]" caption="job_creation" attribute="1" defaultMemberUniqueName="[FirmSize].[job_creation].[All]" allUniqueName="[FirmSize].[job_creation].[All]" dimensionUniqueName="[FirmSize]" displayFolder="" count="0" memberValueDatatype="20" unbalanced="0"/>
    <cacheHierarchy uniqueName="[FirmSize].[job_creation_births]" caption="job_creation_births" attribute="1" defaultMemberUniqueName="[FirmSize].[job_creation_births].[All]" allUniqueName="[FirmSize].[job_creation_births].[All]" dimensionUniqueName="[FirmSize]" displayFolder="" count="0" memberValueDatatype="20" unbalanced="0"/>
    <cacheHierarchy uniqueName="[FirmSize].[job_creation_continuers]" caption="job_creation_continuers" attribute="1" defaultMemberUniqueName="[FirmSize].[job_creation_continuers].[All]" allUniqueName="[FirmSize].[job_creation_continuers].[All]" dimensionUniqueName="[FirmSize]" displayFolder="" count="0" memberValueDatatype="20" unbalanced="0"/>
    <cacheHierarchy uniqueName="[FirmSize].[job_creation_rate_births]" caption="job_creation_rate_births" attribute="1" defaultMemberUniqueName="[FirmSize].[job_creation_rate_births].[All]" allUniqueName="[FirmSize].[job_creation_rate_births].[All]" dimensionUniqueName="[FirmSize]" displayFolder="" count="0" memberValueDatatype="5" unbalanced="0"/>
    <cacheHierarchy uniqueName="[FirmSize].[job_creation_rate]" caption="job_creation_rate" attribute="1" defaultMemberUniqueName="[FirmSize].[job_creation_rate].[All]" allUniqueName="[FirmSize].[job_creation_rate].[All]" dimensionUniqueName="[FirmSize]" displayFolder="" count="0" memberValueDatatype="5" unbalanced="0"/>
    <cacheHierarchy uniqueName="[FirmSize].[job_destruction]" caption="job_destruction" attribute="1" defaultMemberUniqueName="[FirmSize].[job_destruction].[All]" allUniqueName="[FirmSize].[job_destruction].[All]" dimensionUniqueName="[FirmSize]" displayFolder="" count="0" memberValueDatatype="20" unbalanced="0"/>
    <cacheHierarchy uniqueName="[FirmSize].[job_destruction_deaths]" caption="job_destruction_deaths" attribute="1" defaultMemberUniqueName="[FirmSize].[job_destruction_deaths].[All]" allUniqueName="[FirmSize].[job_destruction_deaths].[All]" dimensionUniqueName="[FirmSize]" displayFolder="" count="0" memberValueDatatype="20" unbalanced="0"/>
    <cacheHierarchy uniqueName="[FirmSize].[job_destruction_continuers]" caption="job_destruction_continuers" attribute="1" defaultMemberUniqueName="[FirmSize].[job_destruction_continuers].[All]" allUniqueName="[FirmSize].[job_destruction_continuers].[All]" dimensionUniqueName="[FirmSize]" displayFolder="" count="0" memberValueDatatype="20" unbalanced="0"/>
    <cacheHierarchy uniqueName="[FirmSize].[job_destruction_rate_deaths]" caption="job_destruction_rate_deaths" attribute="1" defaultMemberUniqueName="[FirmSize].[job_destruction_rate_deaths].[All]" allUniqueName="[FirmSize].[job_destruction_rate_deaths].[All]" dimensionUniqueName="[FirmSize]" displayFolder="" count="0" memberValueDatatype="5" unbalanced="0"/>
    <cacheHierarchy uniqueName="[FirmSize].[job_destruction_rate]" caption="job_destruction_rate" attribute="1" defaultMemberUniqueName="[FirmSize].[job_destruction_rate].[All]" allUniqueName="[FirmSize].[job_destruction_rate].[All]" dimensionUniqueName="[FirmSize]" displayFolder="" count="0" memberValueDatatype="5" unbalanced="0"/>
    <cacheHierarchy uniqueName="[FirmSize].[net_job_creation]" caption="net_job_creation" attribute="1" defaultMemberUniqueName="[FirmSize].[net_job_creation].[All]" allUniqueName="[FirmSize].[net_job_creation].[All]" dimensionUniqueName="[FirmSize]" displayFolder="" count="0" memberValueDatatype="20" unbalanced="0"/>
    <cacheHierarchy uniqueName="[FirmSize].[net_job_creation_rate]" caption="net_job_creation_rate" attribute="1" defaultMemberUniqueName="[FirmSize].[net_job_creation_rate].[All]" allUniqueName="[FirmSize].[net_job_creation_rate].[All]" dimensionUniqueName="[FirmSize]" displayFolder="" count="0" memberValueDatatype="5" unbalanced="0"/>
    <cacheHierarchy uniqueName="[FirmSize].[reallocation_rate]" caption="reallocation_rate" attribute="1" defaultMemberUniqueName="[FirmSize].[reallocation_rate].[All]" allUniqueName="[FirmSize].[reallocation_rate].[All]" dimensionUniqueName="[FirmSize]" displayFolder="" count="0" memberValueDatatype="5" unbalanced="0"/>
    <cacheHierarchy uniqueName="[FirmSize].[firmdeath_firms]" caption="firmdeath_firms" attribute="1" defaultMemberUniqueName="[FirmSize].[firmdeath_firms].[All]" allUniqueName="[FirmSize].[firmdeath_firms].[All]" dimensionUniqueName="[FirmSize]" displayFolder="" count="0" memberValueDatatype="20" unbalanced="0"/>
    <cacheHierarchy uniqueName="[FirmSize].[firmdeath_estabs]" caption="firmdeath_estabs" attribute="1" defaultMemberUniqueName="[FirmSize].[firmdeath_estabs].[All]" allUniqueName="[FirmSize].[firmdeath_estabs].[All]" dimensionUniqueName="[FirmSize]" displayFolder="" count="0" memberValueDatatype="20" unbalanced="0"/>
    <cacheHierarchy uniqueName="[FirmSize].[firmdeath_emp]" caption="firmdeath_emp" attribute="1" defaultMemberUniqueName="[FirmSize].[firmdeath_emp].[All]" allUniqueName="[FirmSize].[firmdeath_emp].[All]" dimensionUniqueName="[FirmSize]" displayFolder="" count="0" memberValueDatatype="20" unbalanced="0"/>
    <cacheHierarchy uniqueName="[FirmSize].[Firm Size Order Ranking]" caption="Firm Size Order Ranking" attribute="1" defaultMemberUniqueName="[FirmSize].[Firm Size Order Ranking].[All]" allUniqueName="[FirmSize].[Firm Size Order Ranking].[All]" dimensionUniqueName="[FirmSize]" displayFolder="" count="0" memberValueDatatype="20" unbalanced="0"/>
    <cacheHierarchy uniqueName="[FirmSize].[Survival Rate]" caption="Survival Rate" attribute="1" defaultMemberUniqueName="[FirmSize].[Survival Rate].[All]" allUniqueName="[FirmSize].[Survival Rate].[All]" dimensionUniqueName="[FirmSize]" displayFolder="" count="0" memberValueDatatype="5" unbalanced="0"/>
    <cacheHierarchy uniqueName="[FirmSize].[Death Rate]" caption="Death Rate" attribute="1" defaultMemberUniqueName="[FirmSize].[Death Rate].[All]" allUniqueName="[FirmSize].[Death Rate].[All]" dimensionUniqueName="[FirmSize]" displayFolder="" count="0" memberValueDatatype="5" unbalanced="0"/>
    <cacheHierarchy uniqueName="[Measures].[Sum of firms]" caption="Sum of firms" measure="1" displayFolder="" measureGroup="FirmSize" count="0" oneField="1">
      <fieldsUsage count="1">
        <fieldUsage x="1"/>
      </fieldsUsage>
      <extLst>
        <ext xmlns:x15="http://schemas.microsoft.com/office/spreadsheetml/2010/11/main" uri="{B97F6D7D-B522-45F9-BDA1-12C45D357490}">
          <x15:cacheHierarchy aggregatedColumn="3"/>
        </ext>
      </extLst>
    </cacheHierarchy>
    <cacheHierarchy uniqueName="[Measures].[Sum of emp]" caption="Sum of emp" measure="1" displayFolder="" measureGroup="FirmSize" count="0">
      <extLst>
        <ext xmlns:x15="http://schemas.microsoft.com/office/spreadsheetml/2010/11/main" uri="{B97F6D7D-B522-45F9-BDA1-12C45D357490}">
          <x15:cacheHierarchy aggregatedColumn="5"/>
        </ext>
      </extLst>
    </cacheHierarchy>
    <cacheHierarchy uniqueName="[Measures].[Sum of estabs_entry_rate]" caption="Sum of estabs_entry_rate" measure="1" displayFolder="" measureGroup="FirmSize" count="0">
      <extLst>
        <ext xmlns:x15="http://schemas.microsoft.com/office/spreadsheetml/2010/11/main" uri="{B97F6D7D-B522-45F9-BDA1-12C45D357490}">
          <x15:cacheHierarchy aggregatedColumn="8"/>
        </ext>
      </extLst>
    </cacheHierarchy>
    <cacheHierarchy uniqueName="[Measures].[Sum of estabs_exit_rate]" caption="Sum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net_job_creation_rate]" caption="Sum of net_job_creation_rate" measure="1" displayFolder="" measureGroup="FirmSize" count="0">
      <extLst>
        <ext xmlns:x15="http://schemas.microsoft.com/office/spreadsheetml/2010/11/main" uri="{B97F6D7D-B522-45F9-BDA1-12C45D357490}">
          <x15:cacheHierarchy aggregatedColumn="22"/>
        </ext>
      </extLst>
    </cacheHierarchy>
    <cacheHierarchy uniqueName="[Measures].[Sum of reallocation_rate]" caption="Sum of reallocation_rate" measure="1" displayFolder="" measureGroup="FirmSize" count="0">
      <extLst>
        <ext xmlns:x15="http://schemas.microsoft.com/office/spreadsheetml/2010/11/main" uri="{B97F6D7D-B522-45F9-BDA1-12C45D357490}">
          <x15:cacheHierarchy aggregatedColumn="23"/>
        </ext>
      </extLst>
    </cacheHierarchy>
    <cacheHierarchy uniqueName="[Measures].[Sum of estabs]" caption="Sum of estabs" measure="1" displayFolder="" measureGroup="FirmSize" count="0">
      <extLst>
        <ext xmlns:x15="http://schemas.microsoft.com/office/spreadsheetml/2010/11/main" uri="{B97F6D7D-B522-45F9-BDA1-12C45D357490}">
          <x15:cacheHierarchy aggregatedColumn="4"/>
        </ext>
      </extLst>
    </cacheHierarchy>
    <cacheHierarchy uniqueName="[Measures].[Distinct Count of estabs_entry_rate]" caption="Distinct Count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ntry_rate]" caption="Average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xit_rate]" caption="Average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job_creation]" caption="Sum of job_creation" measure="1" displayFolder="" measureGroup="FirmSize" count="0">
      <extLst>
        <ext xmlns:x15="http://schemas.microsoft.com/office/spreadsheetml/2010/11/main" uri="{B97F6D7D-B522-45F9-BDA1-12C45D357490}">
          <x15:cacheHierarchy aggregatedColumn="11"/>
        </ext>
      </extLst>
    </cacheHierarchy>
    <cacheHierarchy uniqueName="[Measures].[Sum of job_destruction]" caption="Sum of job_destruction" measure="1" displayFolder="" measureGroup="FirmSize" count="0">
      <extLst>
        <ext xmlns:x15="http://schemas.microsoft.com/office/spreadsheetml/2010/11/main" uri="{B97F6D7D-B522-45F9-BDA1-12C45D357490}">
          <x15:cacheHierarchy aggregatedColumn="16"/>
        </ext>
      </extLst>
    </cacheHierarchy>
    <cacheHierarchy uniqueName="[Measures].[Sum of Death Rate]" caption="Sum of Death Rate" measure="1" displayFolder="" measureGroup="FirmSize" count="0">
      <extLst>
        <ext xmlns:x15="http://schemas.microsoft.com/office/spreadsheetml/2010/11/main" uri="{B97F6D7D-B522-45F9-BDA1-12C45D357490}">
          <x15:cacheHierarchy aggregatedColumn="29"/>
        </ext>
      </extLst>
    </cacheHierarchy>
    <cacheHierarchy uniqueName="[Measures].[Average of Death Rate]" caption="Average of Death Rate" measure="1" displayFolder="" measureGroup="FirmSize" count="0">
      <extLst>
        <ext xmlns:x15="http://schemas.microsoft.com/office/spreadsheetml/2010/11/main" uri="{B97F6D7D-B522-45F9-BDA1-12C45D357490}">
          <x15:cacheHierarchy aggregatedColumn="29"/>
        </ext>
      </extLst>
    </cacheHierarchy>
    <cacheHierarchy uniqueName="[Measures].[Total Firms]" caption="Total Firms" measure="1" displayFolder="" measureGroup="All Measures" count="0"/>
    <cacheHierarchy uniqueName="[Measures].[Total Employment]" caption="Total Employment" measure="1" displayFolder="" measureGroup="All Measures" count="0"/>
    <cacheHierarchy uniqueName="[Measures].[Average Entry Rate]" caption="Average Entry Rate" measure="1" displayFolder="" measureGroup="All Measures" count="0"/>
    <cacheHierarchy uniqueName="[Measures].[Average Exit Rate]" caption="Average Exit Rate" measure="1" displayFolder="" measureGroup="All Measures" count="0"/>
    <cacheHierarchy uniqueName="[Measures].[Average Net Job Creation Rate]" caption="Average Net Job Creation Rate" measure="1" displayFolder="" measureGroup="All Measures" count="0"/>
    <cacheHierarchy uniqueName="[Measures].[Average Reallocation Rate]" caption="Average Reallocation Rate" measure="1" displayFolder="" measureGroup="All Measures" count="0"/>
    <cacheHierarchy uniqueName="[Measures].[Average Survival Rate]" caption="Average Survival Rate" measure="1" displayFolder="" measureGroup="All Measures" count="0"/>
    <cacheHierarchy uniqueName="[Measures].[__XL_Count FirmSize]" caption="__XL_Count FirmSize" measure="1" displayFolder="" measureGroup="FirmSize"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3">
    <dimension name="All Measures" uniqueName="[All Measures]" caption="All Measures"/>
    <dimension name="FirmSize" uniqueName="[FirmSize]" caption="FirmSize"/>
    <dimension measure="1" name="Measures" uniqueName="[Measures]" caption="Measures"/>
  </dimensions>
  <measureGroups count="2">
    <measureGroup name="All Measures" caption="All Measures"/>
    <measureGroup name="FirmSize" caption="FirmSiz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5.464913541669" backgroundQuery="1" createdVersion="8" refreshedVersion="8" minRefreshableVersion="3" recordCount="0" supportSubquery="1" supportAdvancedDrill="1" xr:uid="{0520F023-5DF5-476E-8ECF-0B873D3549F7}">
  <cacheSource type="external" connectionId="3"/>
  <cacheFields count="4">
    <cacheField name="[FirmSize].[FirmSize].[FirmSize]" caption="FirmSize" numFmtId="0" hierarchy="2" level="1">
      <sharedItems count="10">
        <s v="1 to 4"/>
        <s v="5 to 9"/>
        <s v="10 to 19"/>
        <s v="20 to 99"/>
        <s v="100 to 499"/>
        <s v="500 to 999"/>
        <s v="1000 to 2499"/>
        <s v="2500 to 4999"/>
        <s v="5000 to 9999"/>
        <s v="10000+"/>
      </sharedItems>
    </cacheField>
    <cacheField name="[Measures].[Average of estabs_entry_rate]" caption="Average of estabs_entry_rate" numFmtId="0" hierarchy="38" level="32767"/>
    <cacheField name="[Measures].[Average of estabs_exit_rate]" caption="Average of estabs_exit_rate" numFmtId="0" hierarchy="39" level="32767"/>
    <cacheField name="[FirmSize].[year].[year]" caption="year" numFmtId="0" hierarchy="1" level="1">
      <sharedItems containsSemiMixedTypes="0" containsNonDate="0" containsString="0"/>
    </cacheField>
  </cacheFields>
  <cacheHierarchies count="54">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FirmSize].[year]" caption="year" attribute="1" defaultMemberUniqueName="[FirmSize].[year].[All]" allUniqueName="[FirmSize].[year].[All]" dimensionUniqueName="[FirmSize]" displayFolder="" count="2" memberValueDatatype="20" unbalanced="0">
      <fieldsUsage count="2">
        <fieldUsage x="-1"/>
        <fieldUsage x="3"/>
      </fieldsUsage>
    </cacheHierarchy>
    <cacheHierarchy uniqueName="[FirmSize].[FirmSize]" caption="FirmSize" attribute="1" defaultMemberUniqueName="[FirmSize].[FirmSize].[All]" allUniqueName="[FirmSize].[FirmSize].[All]" dimensionUniqueName="[FirmSize]" displayFolder="" count="2" memberValueDatatype="130" unbalanced="0">
      <fieldsUsage count="2">
        <fieldUsage x="-1"/>
        <fieldUsage x="0"/>
      </fieldsUsage>
    </cacheHierarchy>
    <cacheHierarchy uniqueName="[FirmSize].[firms]" caption="firms" attribute="1" defaultMemberUniqueName="[FirmSize].[firms].[All]" allUniqueName="[FirmSize].[firms].[All]" dimensionUniqueName="[FirmSize]" displayFolder="" count="0" memberValueDatatype="20" unbalanced="0"/>
    <cacheHierarchy uniqueName="[FirmSize].[estabs]" caption="estabs" attribute="1" defaultMemberUniqueName="[FirmSize].[estabs].[All]" allUniqueName="[FirmSize].[estabs].[All]" dimensionUniqueName="[FirmSize]" displayFolder="" count="0" memberValueDatatype="20" unbalanced="0"/>
    <cacheHierarchy uniqueName="[FirmSize].[emp]" caption="emp" attribute="1" defaultMemberUniqueName="[FirmSize].[emp].[All]" allUniqueName="[FirmSize].[emp].[All]" dimensionUniqueName="[FirmSize]" displayFolder="" count="0" memberValueDatatype="20" unbalanced="0"/>
    <cacheHierarchy uniqueName="[FirmSize].[denom]" caption="denom" attribute="1" defaultMemberUniqueName="[FirmSize].[denom].[All]" allUniqueName="[FirmSize].[denom].[All]" dimensionUniqueName="[FirmSize]" displayFolder="" count="0" memberValueDatatype="20" unbalanced="0"/>
    <cacheHierarchy uniqueName="[FirmSize].[estabs_entry]" caption="estabs_entry" attribute="1" defaultMemberUniqueName="[FirmSize].[estabs_entry].[All]" allUniqueName="[FirmSize].[estabs_entry].[All]" dimensionUniqueName="[FirmSize]" displayFolder="" count="0" memberValueDatatype="20" unbalanced="0"/>
    <cacheHierarchy uniqueName="[FirmSize].[estabs_entry_rate]" caption="estabs_entry_rate" attribute="1" defaultMemberUniqueName="[FirmSize].[estabs_entry_rate].[All]" allUniqueName="[FirmSize].[estabs_entry_rate].[All]" dimensionUniqueName="[FirmSize]" displayFolder="" count="0" memberValueDatatype="5" unbalanced="0"/>
    <cacheHierarchy uniqueName="[FirmSize].[estabs_exit]" caption="estabs_exit" attribute="1" defaultMemberUniqueName="[FirmSize].[estabs_exit].[All]" allUniqueName="[FirmSize].[estabs_exit].[All]" dimensionUniqueName="[FirmSize]" displayFolder="" count="0" memberValueDatatype="20" unbalanced="0"/>
    <cacheHierarchy uniqueName="[FirmSize].[estabs_exit_rate]" caption="estabs_exit_rate" attribute="1" defaultMemberUniqueName="[FirmSize].[estabs_exit_rate].[All]" allUniqueName="[FirmSize].[estabs_exit_rate].[All]" dimensionUniqueName="[FirmSize]" displayFolder="" count="0" memberValueDatatype="5" unbalanced="0"/>
    <cacheHierarchy uniqueName="[FirmSize].[job_creation]" caption="job_creation" attribute="1" defaultMemberUniqueName="[FirmSize].[job_creation].[All]" allUniqueName="[FirmSize].[job_creation].[All]" dimensionUniqueName="[FirmSize]" displayFolder="" count="0" memberValueDatatype="20" unbalanced="0"/>
    <cacheHierarchy uniqueName="[FirmSize].[job_creation_births]" caption="job_creation_births" attribute="1" defaultMemberUniqueName="[FirmSize].[job_creation_births].[All]" allUniqueName="[FirmSize].[job_creation_births].[All]" dimensionUniqueName="[FirmSize]" displayFolder="" count="0" memberValueDatatype="20" unbalanced="0"/>
    <cacheHierarchy uniqueName="[FirmSize].[job_creation_continuers]" caption="job_creation_continuers" attribute="1" defaultMemberUniqueName="[FirmSize].[job_creation_continuers].[All]" allUniqueName="[FirmSize].[job_creation_continuers].[All]" dimensionUniqueName="[FirmSize]" displayFolder="" count="0" memberValueDatatype="20" unbalanced="0"/>
    <cacheHierarchy uniqueName="[FirmSize].[job_creation_rate_births]" caption="job_creation_rate_births" attribute="1" defaultMemberUniqueName="[FirmSize].[job_creation_rate_births].[All]" allUniqueName="[FirmSize].[job_creation_rate_births].[All]" dimensionUniqueName="[FirmSize]" displayFolder="" count="0" memberValueDatatype="5" unbalanced="0"/>
    <cacheHierarchy uniqueName="[FirmSize].[job_creation_rate]" caption="job_creation_rate" attribute="1" defaultMemberUniqueName="[FirmSize].[job_creation_rate].[All]" allUniqueName="[FirmSize].[job_creation_rate].[All]" dimensionUniqueName="[FirmSize]" displayFolder="" count="0" memberValueDatatype="5" unbalanced="0"/>
    <cacheHierarchy uniqueName="[FirmSize].[job_destruction]" caption="job_destruction" attribute="1" defaultMemberUniqueName="[FirmSize].[job_destruction].[All]" allUniqueName="[FirmSize].[job_destruction].[All]" dimensionUniqueName="[FirmSize]" displayFolder="" count="0" memberValueDatatype="20" unbalanced="0"/>
    <cacheHierarchy uniqueName="[FirmSize].[job_destruction_deaths]" caption="job_destruction_deaths" attribute="1" defaultMemberUniqueName="[FirmSize].[job_destruction_deaths].[All]" allUniqueName="[FirmSize].[job_destruction_deaths].[All]" dimensionUniqueName="[FirmSize]" displayFolder="" count="0" memberValueDatatype="20" unbalanced="0"/>
    <cacheHierarchy uniqueName="[FirmSize].[job_destruction_continuers]" caption="job_destruction_continuers" attribute="1" defaultMemberUniqueName="[FirmSize].[job_destruction_continuers].[All]" allUniqueName="[FirmSize].[job_destruction_continuers].[All]" dimensionUniqueName="[FirmSize]" displayFolder="" count="0" memberValueDatatype="20" unbalanced="0"/>
    <cacheHierarchy uniqueName="[FirmSize].[job_destruction_rate_deaths]" caption="job_destruction_rate_deaths" attribute="1" defaultMemberUniqueName="[FirmSize].[job_destruction_rate_deaths].[All]" allUniqueName="[FirmSize].[job_destruction_rate_deaths].[All]" dimensionUniqueName="[FirmSize]" displayFolder="" count="0" memberValueDatatype="5" unbalanced="0"/>
    <cacheHierarchy uniqueName="[FirmSize].[job_destruction_rate]" caption="job_destruction_rate" attribute="1" defaultMemberUniqueName="[FirmSize].[job_destruction_rate].[All]" allUniqueName="[FirmSize].[job_destruction_rate].[All]" dimensionUniqueName="[FirmSize]" displayFolder="" count="0" memberValueDatatype="5" unbalanced="0"/>
    <cacheHierarchy uniqueName="[FirmSize].[net_job_creation]" caption="net_job_creation" attribute="1" defaultMemberUniqueName="[FirmSize].[net_job_creation].[All]" allUniqueName="[FirmSize].[net_job_creation].[All]" dimensionUniqueName="[FirmSize]" displayFolder="" count="0" memberValueDatatype="20" unbalanced="0"/>
    <cacheHierarchy uniqueName="[FirmSize].[net_job_creation_rate]" caption="net_job_creation_rate" attribute="1" defaultMemberUniqueName="[FirmSize].[net_job_creation_rate].[All]" allUniqueName="[FirmSize].[net_job_creation_rate].[All]" dimensionUniqueName="[FirmSize]" displayFolder="" count="0" memberValueDatatype="5" unbalanced="0"/>
    <cacheHierarchy uniqueName="[FirmSize].[reallocation_rate]" caption="reallocation_rate" attribute="1" defaultMemberUniqueName="[FirmSize].[reallocation_rate].[All]" allUniqueName="[FirmSize].[reallocation_rate].[All]" dimensionUniqueName="[FirmSize]" displayFolder="" count="0" memberValueDatatype="5" unbalanced="0"/>
    <cacheHierarchy uniqueName="[FirmSize].[firmdeath_firms]" caption="firmdeath_firms" attribute="1" defaultMemberUniqueName="[FirmSize].[firmdeath_firms].[All]" allUniqueName="[FirmSize].[firmdeath_firms].[All]" dimensionUniqueName="[FirmSize]" displayFolder="" count="0" memberValueDatatype="20" unbalanced="0"/>
    <cacheHierarchy uniqueName="[FirmSize].[firmdeath_estabs]" caption="firmdeath_estabs" attribute="1" defaultMemberUniqueName="[FirmSize].[firmdeath_estabs].[All]" allUniqueName="[FirmSize].[firmdeath_estabs].[All]" dimensionUniqueName="[FirmSize]" displayFolder="" count="0" memberValueDatatype="20" unbalanced="0"/>
    <cacheHierarchy uniqueName="[FirmSize].[firmdeath_emp]" caption="firmdeath_emp" attribute="1" defaultMemberUniqueName="[FirmSize].[firmdeath_emp].[All]" allUniqueName="[FirmSize].[firmdeath_emp].[All]" dimensionUniqueName="[FirmSize]" displayFolder="" count="0" memberValueDatatype="20" unbalanced="0"/>
    <cacheHierarchy uniqueName="[FirmSize].[Firm Size Order Ranking]" caption="Firm Size Order Ranking" attribute="1" defaultMemberUniqueName="[FirmSize].[Firm Size Order Ranking].[All]" allUniqueName="[FirmSize].[Firm Size Order Ranking].[All]" dimensionUniqueName="[FirmSize]" displayFolder="" count="0" memberValueDatatype="20" unbalanced="0"/>
    <cacheHierarchy uniqueName="[FirmSize].[Survival Rate]" caption="Survival Rate" attribute="1" defaultMemberUniqueName="[FirmSize].[Survival Rate].[All]" allUniqueName="[FirmSize].[Survival Rate].[All]" dimensionUniqueName="[FirmSize]" displayFolder="" count="0" memberValueDatatype="5" unbalanced="0"/>
    <cacheHierarchy uniqueName="[FirmSize].[Death Rate]" caption="Death Rate" attribute="1" defaultMemberUniqueName="[FirmSize].[Death Rate].[All]" allUniqueName="[FirmSize].[Death Rate].[All]" dimensionUniqueName="[FirmSize]" displayFolder="" count="0" memberValueDatatype="5" unbalanced="0"/>
    <cacheHierarchy uniqueName="[Measures].[Sum of firms]" caption="Sum of firms" measure="1" displayFolder="" measureGroup="FirmSize" count="0">
      <extLst>
        <ext xmlns:x15="http://schemas.microsoft.com/office/spreadsheetml/2010/11/main" uri="{B97F6D7D-B522-45F9-BDA1-12C45D357490}">
          <x15:cacheHierarchy aggregatedColumn="3"/>
        </ext>
      </extLst>
    </cacheHierarchy>
    <cacheHierarchy uniqueName="[Measures].[Sum of emp]" caption="Sum of emp" measure="1" displayFolder="" measureGroup="FirmSize" count="0">
      <extLst>
        <ext xmlns:x15="http://schemas.microsoft.com/office/spreadsheetml/2010/11/main" uri="{B97F6D7D-B522-45F9-BDA1-12C45D357490}">
          <x15:cacheHierarchy aggregatedColumn="5"/>
        </ext>
      </extLst>
    </cacheHierarchy>
    <cacheHierarchy uniqueName="[Measures].[Sum of estabs_entry_rate]" caption="Sum of estabs_entry_rate" measure="1" displayFolder="" measureGroup="FirmSize" count="0">
      <extLst>
        <ext xmlns:x15="http://schemas.microsoft.com/office/spreadsheetml/2010/11/main" uri="{B97F6D7D-B522-45F9-BDA1-12C45D357490}">
          <x15:cacheHierarchy aggregatedColumn="8"/>
        </ext>
      </extLst>
    </cacheHierarchy>
    <cacheHierarchy uniqueName="[Measures].[Sum of estabs_exit_rate]" caption="Sum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net_job_creation_rate]" caption="Sum of net_job_creation_rate" measure="1" displayFolder="" measureGroup="FirmSize" count="0">
      <extLst>
        <ext xmlns:x15="http://schemas.microsoft.com/office/spreadsheetml/2010/11/main" uri="{B97F6D7D-B522-45F9-BDA1-12C45D357490}">
          <x15:cacheHierarchy aggregatedColumn="22"/>
        </ext>
      </extLst>
    </cacheHierarchy>
    <cacheHierarchy uniqueName="[Measures].[Sum of reallocation_rate]" caption="Sum of reallocation_rate" measure="1" displayFolder="" measureGroup="FirmSize" count="0">
      <extLst>
        <ext xmlns:x15="http://schemas.microsoft.com/office/spreadsheetml/2010/11/main" uri="{B97F6D7D-B522-45F9-BDA1-12C45D357490}">
          <x15:cacheHierarchy aggregatedColumn="23"/>
        </ext>
      </extLst>
    </cacheHierarchy>
    <cacheHierarchy uniqueName="[Measures].[Sum of estabs]" caption="Sum of estabs" measure="1" displayFolder="" measureGroup="FirmSize" count="0">
      <extLst>
        <ext xmlns:x15="http://schemas.microsoft.com/office/spreadsheetml/2010/11/main" uri="{B97F6D7D-B522-45F9-BDA1-12C45D357490}">
          <x15:cacheHierarchy aggregatedColumn="4"/>
        </ext>
      </extLst>
    </cacheHierarchy>
    <cacheHierarchy uniqueName="[Measures].[Distinct Count of estabs_entry_rate]" caption="Distinct Count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ntry_rate]" caption="Average of estabs_entry_rate" measure="1" displayFolder="" measureGroup="FirmSize" count="0" oneField="1">
      <fieldsUsage count="1">
        <fieldUsage x="1"/>
      </fieldsUsage>
      <extLst>
        <ext xmlns:x15="http://schemas.microsoft.com/office/spreadsheetml/2010/11/main" uri="{B97F6D7D-B522-45F9-BDA1-12C45D357490}">
          <x15:cacheHierarchy aggregatedColumn="8"/>
        </ext>
      </extLst>
    </cacheHierarchy>
    <cacheHierarchy uniqueName="[Measures].[Average of estabs_exit_rate]" caption="Average of estabs_exit_rate" measure="1" displayFolder="" measureGroup="FirmSize" count="0" oneField="1">
      <fieldsUsage count="1">
        <fieldUsage x="2"/>
      </fieldsUsage>
      <extLst>
        <ext xmlns:x15="http://schemas.microsoft.com/office/spreadsheetml/2010/11/main" uri="{B97F6D7D-B522-45F9-BDA1-12C45D357490}">
          <x15:cacheHierarchy aggregatedColumn="10"/>
        </ext>
      </extLst>
    </cacheHierarchy>
    <cacheHierarchy uniqueName="[Measures].[Sum of job_creation]" caption="Sum of job_creation" measure="1" displayFolder="" measureGroup="FirmSize" count="0">
      <extLst>
        <ext xmlns:x15="http://schemas.microsoft.com/office/spreadsheetml/2010/11/main" uri="{B97F6D7D-B522-45F9-BDA1-12C45D357490}">
          <x15:cacheHierarchy aggregatedColumn="11"/>
        </ext>
      </extLst>
    </cacheHierarchy>
    <cacheHierarchy uniqueName="[Measures].[Sum of job_destruction]" caption="Sum of job_destruction" measure="1" displayFolder="" measureGroup="FirmSize" count="0">
      <extLst>
        <ext xmlns:x15="http://schemas.microsoft.com/office/spreadsheetml/2010/11/main" uri="{B97F6D7D-B522-45F9-BDA1-12C45D357490}">
          <x15:cacheHierarchy aggregatedColumn="16"/>
        </ext>
      </extLst>
    </cacheHierarchy>
    <cacheHierarchy uniqueName="[Measures].[Sum of Death Rate]" caption="Sum of Death Rate" measure="1" displayFolder="" measureGroup="FirmSize" count="0">
      <extLst>
        <ext xmlns:x15="http://schemas.microsoft.com/office/spreadsheetml/2010/11/main" uri="{B97F6D7D-B522-45F9-BDA1-12C45D357490}">
          <x15:cacheHierarchy aggregatedColumn="29"/>
        </ext>
      </extLst>
    </cacheHierarchy>
    <cacheHierarchy uniqueName="[Measures].[Average of Death Rate]" caption="Average of Death Rate" measure="1" displayFolder="" measureGroup="FirmSize" count="0">
      <extLst>
        <ext xmlns:x15="http://schemas.microsoft.com/office/spreadsheetml/2010/11/main" uri="{B97F6D7D-B522-45F9-BDA1-12C45D357490}">
          <x15:cacheHierarchy aggregatedColumn="29"/>
        </ext>
      </extLst>
    </cacheHierarchy>
    <cacheHierarchy uniqueName="[Measures].[Total Firms]" caption="Total Firms" measure="1" displayFolder="" measureGroup="All Measures" count="0"/>
    <cacheHierarchy uniqueName="[Measures].[Total Employment]" caption="Total Employment" measure="1" displayFolder="" measureGroup="All Measures" count="0"/>
    <cacheHierarchy uniqueName="[Measures].[Average Entry Rate]" caption="Average Entry Rate" measure="1" displayFolder="" measureGroup="All Measures" count="0"/>
    <cacheHierarchy uniqueName="[Measures].[Average Exit Rate]" caption="Average Exit Rate" measure="1" displayFolder="" measureGroup="All Measures" count="0"/>
    <cacheHierarchy uniqueName="[Measures].[Average Net Job Creation Rate]" caption="Average Net Job Creation Rate" measure="1" displayFolder="" measureGroup="All Measures" count="0"/>
    <cacheHierarchy uniqueName="[Measures].[Average Reallocation Rate]" caption="Average Reallocation Rate" measure="1" displayFolder="" measureGroup="All Measures" count="0"/>
    <cacheHierarchy uniqueName="[Measures].[Average Survival Rate]" caption="Average Survival Rate" measure="1" displayFolder="" measureGroup="All Measures" count="0"/>
    <cacheHierarchy uniqueName="[Measures].[__XL_Count FirmSize]" caption="__XL_Count FirmSize" measure="1" displayFolder="" measureGroup="FirmSize"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3">
    <dimension name="All Measures" uniqueName="[All Measures]" caption="All Measures"/>
    <dimension name="FirmSize" uniqueName="[FirmSize]" caption="FirmSize"/>
    <dimension measure="1" name="Measures" uniqueName="[Measures]" caption="Measures"/>
  </dimensions>
  <measureGroups count="2">
    <measureGroup name="All Measures" caption="All Measures"/>
    <measureGroup name="FirmSize" caption="FirmSiz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5.464913888885" backgroundQuery="1" createdVersion="8" refreshedVersion="8" minRefreshableVersion="3" recordCount="0" supportSubquery="1" supportAdvancedDrill="1" xr:uid="{AF6EE043-233B-4756-9EB9-713A7A5E2169}">
  <cacheSource type="external" connectionId="3"/>
  <cacheFields count="4">
    <cacheField name="[Measures].[Sum of job_creation]" caption="Sum of job_creation" numFmtId="0" hierarchy="40" level="32767"/>
    <cacheField name="[FirmSize].[FirmSize].[FirmSize]" caption="FirmSize" numFmtId="0" hierarchy="2" level="1">
      <sharedItems count="10">
        <s v="1 to 4"/>
        <s v="5 to 9"/>
        <s v="10 to 19"/>
        <s v="20 to 99"/>
        <s v="100 to 499"/>
        <s v="500 to 999"/>
        <s v="1000 to 2499"/>
        <s v="2500 to 4999"/>
        <s v="5000 to 9999"/>
        <s v="10000+"/>
      </sharedItems>
    </cacheField>
    <cacheField name="[Measures].[Sum of job_destruction]" caption="Sum of job_destruction" numFmtId="0" hierarchy="41" level="32767"/>
    <cacheField name="[FirmSize].[year].[year]" caption="year" numFmtId="0" hierarchy="1" level="1">
      <sharedItems containsSemiMixedTypes="0" containsNonDate="0" containsString="0"/>
    </cacheField>
  </cacheFields>
  <cacheHierarchies count="54">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FirmSize].[year]" caption="year" attribute="1" defaultMemberUniqueName="[FirmSize].[year].[All]" allUniqueName="[FirmSize].[year].[All]" dimensionUniqueName="[FirmSize]" displayFolder="" count="2" memberValueDatatype="20" unbalanced="0">
      <fieldsUsage count="2">
        <fieldUsage x="-1"/>
        <fieldUsage x="3"/>
      </fieldsUsage>
    </cacheHierarchy>
    <cacheHierarchy uniqueName="[FirmSize].[FirmSize]" caption="FirmSize" attribute="1" defaultMemberUniqueName="[FirmSize].[FirmSize].[All]" allUniqueName="[FirmSize].[FirmSize].[All]" dimensionUniqueName="[FirmSize]" displayFolder="" count="2" memberValueDatatype="130" unbalanced="0">
      <fieldsUsage count="2">
        <fieldUsage x="-1"/>
        <fieldUsage x="1"/>
      </fieldsUsage>
    </cacheHierarchy>
    <cacheHierarchy uniqueName="[FirmSize].[firms]" caption="firms" attribute="1" defaultMemberUniqueName="[FirmSize].[firms].[All]" allUniqueName="[FirmSize].[firms].[All]" dimensionUniqueName="[FirmSize]" displayFolder="" count="0" memberValueDatatype="20" unbalanced="0"/>
    <cacheHierarchy uniqueName="[FirmSize].[estabs]" caption="estabs" attribute="1" defaultMemberUniqueName="[FirmSize].[estabs].[All]" allUniqueName="[FirmSize].[estabs].[All]" dimensionUniqueName="[FirmSize]" displayFolder="" count="0" memberValueDatatype="20" unbalanced="0"/>
    <cacheHierarchy uniqueName="[FirmSize].[emp]" caption="emp" attribute="1" defaultMemberUniqueName="[FirmSize].[emp].[All]" allUniqueName="[FirmSize].[emp].[All]" dimensionUniqueName="[FirmSize]" displayFolder="" count="0" memberValueDatatype="20" unbalanced="0"/>
    <cacheHierarchy uniqueName="[FirmSize].[denom]" caption="denom" attribute="1" defaultMemberUniqueName="[FirmSize].[denom].[All]" allUniqueName="[FirmSize].[denom].[All]" dimensionUniqueName="[FirmSize]" displayFolder="" count="0" memberValueDatatype="20" unbalanced="0"/>
    <cacheHierarchy uniqueName="[FirmSize].[estabs_entry]" caption="estabs_entry" attribute="1" defaultMemberUniqueName="[FirmSize].[estabs_entry].[All]" allUniqueName="[FirmSize].[estabs_entry].[All]" dimensionUniqueName="[FirmSize]" displayFolder="" count="0" memberValueDatatype="20" unbalanced="0"/>
    <cacheHierarchy uniqueName="[FirmSize].[estabs_entry_rate]" caption="estabs_entry_rate" attribute="1" defaultMemberUniqueName="[FirmSize].[estabs_entry_rate].[All]" allUniqueName="[FirmSize].[estabs_entry_rate].[All]" dimensionUniqueName="[FirmSize]" displayFolder="" count="0" memberValueDatatype="5" unbalanced="0"/>
    <cacheHierarchy uniqueName="[FirmSize].[estabs_exit]" caption="estabs_exit" attribute="1" defaultMemberUniqueName="[FirmSize].[estabs_exit].[All]" allUniqueName="[FirmSize].[estabs_exit].[All]" dimensionUniqueName="[FirmSize]" displayFolder="" count="0" memberValueDatatype="20" unbalanced="0"/>
    <cacheHierarchy uniqueName="[FirmSize].[estabs_exit_rate]" caption="estabs_exit_rate" attribute="1" defaultMemberUniqueName="[FirmSize].[estabs_exit_rate].[All]" allUniqueName="[FirmSize].[estabs_exit_rate].[All]" dimensionUniqueName="[FirmSize]" displayFolder="" count="0" memberValueDatatype="5" unbalanced="0"/>
    <cacheHierarchy uniqueName="[FirmSize].[job_creation]" caption="job_creation" attribute="1" defaultMemberUniqueName="[FirmSize].[job_creation].[All]" allUniqueName="[FirmSize].[job_creation].[All]" dimensionUniqueName="[FirmSize]" displayFolder="" count="0" memberValueDatatype="20" unbalanced="0"/>
    <cacheHierarchy uniqueName="[FirmSize].[job_creation_births]" caption="job_creation_births" attribute="1" defaultMemberUniqueName="[FirmSize].[job_creation_births].[All]" allUniqueName="[FirmSize].[job_creation_births].[All]" dimensionUniqueName="[FirmSize]" displayFolder="" count="0" memberValueDatatype="20" unbalanced="0"/>
    <cacheHierarchy uniqueName="[FirmSize].[job_creation_continuers]" caption="job_creation_continuers" attribute="1" defaultMemberUniqueName="[FirmSize].[job_creation_continuers].[All]" allUniqueName="[FirmSize].[job_creation_continuers].[All]" dimensionUniqueName="[FirmSize]" displayFolder="" count="0" memberValueDatatype="20" unbalanced="0"/>
    <cacheHierarchy uniqueName="[FirmSize].[job_creation_rate_births]" caption="job_creation_rate_births" attribute="1" defaultMemberUniqueName="[FirmSize].[job_creation_rate_births].[All]" allUniqueName="[FirmSize].[job_creation_rate_births].[All]" dimensionUniqueName="[FirmSize]" displayFolder="" count="0" memberValueDatatype="5" unbalanced="0"/>
    <cacheHierarchy uniqueName="[FirmSize].[job_creation_rate]" caption="job_creation_rate" attribute="1" defaultMemberUniqueName="[FirmSize].[job_creation_rate].[All]" allUniqueName="[FirmSize].[job_creation_rate].[All]" dimensionUniqueName="[FirmSize]" displayFolder="" count="0" memberValueDatatype="5" unbalanced="0"/>
    <cacheHierarchy uniqueName="[FirmSize].[job_destruction]" caption="job_destruction" attribute="1" defaultMemberUniqueName="[FirmSize].[job_destruction].[All]" allUniqueName="[FirmSize].[job_destruction].[All]" dimensionUniqueName="[FirmSize]" displayFolder="" count="0" memberValueDatatype="20" unbalanced="0"/>
    <cacheHierarchy uniqueName="[FirmSize].[job_destruction_deaths]" caption="job_destruction_deaths" attribute="1" defaultMemberUniqueName="[FirmSize].[job_destruction_deaths].[All]" allUniqueName="[FirmSize].[job_destruction_deaths].[All]" dimensionUniqueName="[FirmSize]" displayFolder="" count="0" memberValueDatatype="20" unbalanced="0"/>
    <cacheHierarchy uniqueName="[FirmSize].[job_destruction_continuers]" caption="job_destruction_continuers" attribute="1" defaultMemberUniqueName="[FirmSize].[job_destruction_continuers].[All]" allUniqueName="[FirmSize].[job_destruction_continuers].[All]" dimensionUniqueName="[FirmSize]" displayFolder="" count="0" memberValueDatatype="20" unbalanced="0"/>
    <cacheHierarchy uniqueName="[FirmSize].[job_destruction_rate_deaths]" caption="job_destruction_rate_deaths" attribute="1" defaultMemberUniqueName="[FirmSize].[job_destruction_rate_deaths].[All]" allUniqueName="[FirmSize].[job_destruction_rate_deaths].[All]" dimensionUniqueName="[FirmSize]" displayFolder="" count="0" memberValueDatatype="5" unbalanced="0"/>
    <cacheHierarchy uniqueName="[FirmSize].[job_destruction_rate]" caption="job_destruction_rate" attribute="1" defaultMemberUniqueName="[FirmSize].[job_destruction_rate].[All]" allUniqueName="[FirmSize].[job_destruction_rate].[All]" dimensionUniqueName="[FirmSize]" displayFolder="" count="0" memberValueDatatype="5" unbalanced="0"/>
    <cacheHierarchy uniqueName="[FirmSize].[net_job_creation]" caption="net_job_creation" attribute="1" defaultMemberUniqueName="[FirmSize].[net_job_creation].[All]" allUniqueName="[FirmSize].[net_job_creation].[All]" dimensionUniqueName="[FirmSize]" displayFolder="" count="0" memberValueDatatype="20" unbalanced="0"/>
    <cacheHierarchy uniqueName="[FirmSize].[net_job_creation_rate]" caption="net_job_creation_rate" attribute="1" defaultMemberUniqueName="[FirmSize].[net_job_creation_rate].[All]" allUniqueName="[FirmSize].[net_job_creation_rate].[All]" dimensionUniqueName="[FirmSize]" displayFolder="" count="0" memberValueDatatype="5" unbalanced="0"/>
    <cacheHierarchy uniqueName="[FirmSize].[reallocation_rate]" caption="reallocation_rate" attribute="1" defaultMemberUniqueName="[FirmSize].[reallocation_rate].[All]" allUniqueName="[FirmSize].[reallocation_rate].[All]" dimensionUniqueName="[FirmSize]" displayFolder="" count="0" memberValueDatatype="5" unbalanced="0"/>
    <cacheHierarchy uniqueName="[FirmSize].[firmdeath_firms]" caption="firmdeath_firms" attribute="1" defaultMemberUniqueName="[FirmSize].[firmdeath_firms].[All]" allUniqueName="[FirmSize].[firmdeath_firms].[All]" dimensionUniqueName="[FirmSize]" displayFolder="" count="0" memberValueDatatype="20" unbalanced="0"/>
    <cacheHierarchy uniqueName="[FirmSize].[firmdeath_estabs]" caption="firmdeath_estabs" attribute="1" defaultMemberUniqueName="[FirmSize].[firmdeath_estabs].[All]" allUniqueName="[FirmSize].[firmdeath_estabs].[All]" dimensionUniqueName="[FirmSize]" displayFolder="" count="0" memberValueDatatype="20" unbalanced="0"/>
    <cacheHierarchy uniqueName="[FirmSize].[firmdeath_emp]" caption="firmdeath_emp" attribute="1" defaultMemberUniqueName="[FirmSize].[firmdeath_emp].[All]" allUniqueName="[FirmSize].[firmdeath_emp].[All]" dimensionUniqueName="[FirmSize]" displayFolder="" count="0" memberValueDatatype="20" unbalanced="0"/>
    <cacheHierarchy uniqueName="[FirmSize].[Firm Size Order Ranking]" caption="Firm Size Order Ranking" attribute="1" defaultMemberUniqueName="[FirmSize].[Firm Size Order Ranking].[All]" allUniqueName="[FirmSize].[Firm Size Order Ranking].[All]" dimensionUniqueName="[FirmSize]" displayFolder="" count="0" memberValueDatatype="20" unbalanced="0"/>
    <cacheHierarchy uniqueName="[FirmSize].[Survival Rate]" caption="Survival Rate" attribute="1" defaultMemberUniqueName="[FirmSize].[Survival Rate].[All]" allUniqueName="[FirmSize].[Survival Rate].[All]" dimensionUniqueName="[FirmSize]" displayFolder="" count="0" memberValueDatatype="5" unbalanced="0"/>
    <cacheHierarchy uniqueName="[FirmSize].[Death Rate]" caption="Death Rate" attribute="1" defaultMemberUniqueName="[FirmSize].[Death Rate].[All]" allUniqueName="[FirmSize].[Death Rate].[All]" dimensionUniqueName="[FirmSize]" displayFolder="" count="0" memberValueDatatype="5" unbalanced="0"/>
    <cacheHierarchy uniqueName="[Measures].[Sum of firms]" caption="Sum of firms" measure="1" displayFolder="" measureGroup="FirmSize" count="0">
      <extLst>
        <ext xmlns:x15="http://schemas.microsoft.com/office/spreadsheetml/2010/11/main" uri="{B97F6D7D-B522-45F9-BDA1-12C45D357490}">
          <x15:cacheHierarchy aggregatedColumn="3"/>
        </ext>
      </extLst>
    </cacheHierarchy>
    <cacheHierarchy uniqueName="[Measures].[Sum of emp]" caption="Sum of emp" measure="1" displayFolder="" measureGroup="FirmSize" count="0">
      <extLst>
        <ext xmlns:x15="http://schemas.microsoft.com/office/spreadsheetml/2010/11/main" uri="{B97F6D7D-B522-45F9-BDA1-12C45D357490}">
          <x15:cacheHierarchy aggregatedColumn="5"/>
        </ext>
      </extLst>
    </cacheHierarchy>
    <cacheHierarchy uniqueName="[Measures].[Sum of estabs_entry_rate]" caption="Sum of estabs_entry_rate" measure="1" displayFolder="" measureGroup="FirmSize" count="0">
      <extLst>
        <ext xmlns:x15="http://schemas.microsoft.com/office/spreadsheetml/2010/11/main" uri="{B97F6D7D-B522-45F9-BDA1-12C45D357490}">
          <x15:cacheHierarchy aggregatedColumn="8"/>
        </ext>
      </extLst>
    </cacheHierarchy>
    <cacheHierarchy uniqueName="[Measures].[Sum of estabs_exit_rate]" caption="Sum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net_job_creation_rate]" caption="Sum of net_job_creation_rate" measure="1" displayFolder="" measureGroup="FirmSize" count="0">
      <extLst>
        <ext xmlns:x15="http://schemas.microsoft.com/office/spreadsheetml/2010/11/main" uri="{B97F6D7D-B522-45F9-BDA1-12C45D357490}">
          <x15:cacheHierarchy aggregatedColumn="22"/>
        </ext>
      </extLst>
    </cacheHierarchy>
    <cacheHierarchy uniqueName="[Measures].[Sum of reallocation_rate]" caption="Sum of reallocation_rate" measure="1" displayFolder="" measureGroup="FirmSize" count="0">
      <extLst>
        <ext xmlns:x15="http://schemas.microsoft.com/office/spreadsheetml/2010/11/main" uri="{B97F6D7D-B522-45F9-BDA1-12C45D357490}">
          <x15:cacheHierarchy aggregatedColumn="23"/>
        </ext>
      </extLst>
    </cacheHierarchy>
    <cacheHierarchy uniqueName="[Measures].[Sum of estabs]" caption="Sum of estabs" measure="1" displayFolder="" measureGroup="FirmSize" count="0">
      <extLst>
        <ext xmlns:x15="http://schemas.microsoft.com/office/spreadsheetml/2010/11/main" uri="{B97F6D7D-B522-45F9-BDA1-12C45D357490}">
          <x15:cacheHierarchy aggregatedColumn="4"/>
        </ext>
      </extLst>
    </cacheHierarchy>
    <cacheHierarchy uniqueName="[Measures].[Distinct Count of estabs_entry_rate]" caption="Distinct Count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ntry_rate]" caption="Average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xit_rate]" caption="Average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job_creation]" caption="Sum of job_creation" measure="1" displayFolder="" measureGroup="FirmSize" count="0" oneField="1">
      <fieldsUsage count="1">
        <fieldUsage x="0"/>
      </fieldsUsage>
      <extLst>
        <ext xmlns:x15="http://schemas.microsoft.com/office/spreadsheetml/2010/11/main" uri="{B97F6D7D-B522-45F9-BDA1-12C45D357490}">
          <x15:cacheHierarchy aggregatedColumn="11"/>
        </ext>
      </extLst>
    </cacheHierarchy>
    <cacheHierarchy uniqueName="[Measures].[Sum of job_destruction]" caption="Sum of job_destruction" measure="1" displayFolder="" measureGroup="FirmSize" count="0" oneField="1">
      <fieldsUsage count="1">
        <fieldUsage x="2"/>
      </fieldsUsage>
      <extLst>
        <ext xmlns:x15="http://schemas.microsoft.com/office/spreadsheetml/2010/11/main" uri="{B97F6D7D-B522-45F9-BDA1-12C45D357490}">
          <x15:cacheHierarchy aggregatedColumn="16"/>
        </ext>
      </extLst>
    </cacheHierarchy>
    <cacheHierarchy uniqueName="[Measures].[Sum of Death Rate]" caption="Sum of Death Rate" measure="1" displayFolder="" measureGroup="FirmSize" count="0">
      <extLst>
        <ext xmlns:x15="http://schemas.microsoft.com/office/spreadsheetml/2010/11/main" uri="{B97F6D7D-B522-45F9-BDA1-12C45D357490}">
          <x15:cacheHierarchy aggregatedColumn="29"/>
        </ext>
      </extLst>
    </cacheHierarchy>
    <cacheHierarchy uniqueName="[Measures].[Average of Death Rate]" caption="Average of Death Rate" measure="1" displayFolder="" measureGroup="FirmSize" count="0">
      <extLst>
        <ext xmlns:x15="http://schemas.microsoft.com/office/spreadsheetml/2010/11/main" uri="{B97F6D7D-B522-45F9-BDA1-12C45D357490}">
          <x15:cacheHierarchy aggregatedColumn="29"/>
        </ext>
      </extLst>
    </cacheHierarchy>
    <cacheHierarchy uniqueName="[Measures].[Total Firms]" caption="Total Firms" measure="1" displayFolder="" measureGroup="All Measures" count="0"/>
    <cacheHierarchy uniqueName="[Measures].[Total Employment]" caption="Total Employment" measure="1" displayFolder="" measureGroup="All Measures" count="0"/>
    <cacheHierarchy uniqueName="[Measures].[Average Entry Rate]" caption="Average Entry Rate" measure="1" displayFolder="" measureGroup="All Measures" count="0"/>
    <cacheHierarchy uniqueName="[Measures].[Average Exit Rate]" caption="Average Exit Rate" measure="1" displayFolder="" measureGroup="All Measures" count="0"/>
    <cacheHierarchy uniqueName="[Measures].[Average Net Job Creation Rate]" caption="Average Net Job Creation Rate" measure="1" displayFolder="" measureGroup="All Measures" count="0"/>
    <cacheHierarchy uniqueName="[Measures].[Average Reallocation Rate]" caption="Average Reallocation Rate" measure="1" displayFolder="" measureGroup="All Measures" count="0"/>
    <cacheHierarchy uniqueName="[Measures].[Average Survival Rate]" caption="Average Survival Rate" measure="1" displayFolder="" measureGroup="All Measures" count="0"/>
    <cacheHierarchy uniqueName="[Measures].[__XL_Count FirmSize]" caption="__XL_Count FirmSize" measure="1" displayFolder="" measureGroup="FirmSize"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3">
    <dimension name="All Measures" uniqueName="[All Measures]" caption="All Measures"/>
    <dimension name="FirmSize" uniqueName="[FirmSize]" caption="FirmSize"/>
    <dimension measure="1" name="Measures" uniqueName="[Measures]" caption="Measures"/>
  </dimensions>
  <measureGroups count="2">
    <measureGroup name="All Measures" caption="All Measures"/>
    <measureGroup name="FirmSize" caption="FirmSiz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5.464914351855" backgroundQuery="1" createdVersion="8" refreshedVersion="8" minRefreshableVersion="3" recordCount="0" supportSubquery="1" supportAdvancedDrill="1" xr:uid="{52156787-3D0A-4FCD-B656-C63EAEA3348A}">
  <cacheSource type="external" connectionId="3"/>
  <cacheFields count="3">
    <cacheField name="[FirmSize].[FirmSize].[FirmSize]" caption="FirmSize" numFmtId="0" hierarchy="2" level="1">
      <sharedItems count="10">
        <s v="1 to 4"/>
        <s v="5 to 9"/>
        <s v="10 to 19"/>
        <s v="20 to 99"/>
        <s v="100 to 499"/>
        <s v="500 to 999"/>
        <s v="1000 to 2499"/>
        <s v="2500 to 4999"/>
        <s v="5000 to 9999"/>
        <s v="10000+"/>
      </sharedItems>
    </cacheField>
    <cacheField name="[Measures].[Average of Death Rate]" caption="Average of Death Rate" numFmtId="0" hierarchy="43" level="32767"/>
    <cacheField name="[FirmSize].[year].[year]" caption="year" numFmtId="0" hierarchy="1" level="1">
      <sharedItems containsSemiMixedTypes="0" containsNonDate="0" containsString="0"/>
    </cacheField>
  </cacheFields>
  <cacheHierarchies count="54">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FirmSize].[year]" caption="year" attribute="1" defaultMemberUniqueName="[FirmSize].[year].[All]" allUniqueName="[FirmSize].[year].[All]" dimensionUniqueName="[FirmSize]" displayFolder="" count="2" memberValueDatatype="20" unbalanced="0">
      <fieldsUsage count="2">
        <fieldUsage x="-1"/>
        <fieldUsage x="2"/>
      </fieldsUsage>
    </cacheHierarchy>
    <cacheHierarchy uniqueName="[FirmSize].[FirmSize]" caption="FirmSize" attribute="1" defaultMemberUniqueName="[FirmSize].[FirmSize].[All]" allUniqueName="[FirmSize].[FirmSize].[All]" dimensionUniqueName="[FirmSize]" displayFolder="" count="2" memberValueDatatype="130" unbalanced="0">
      <fieldsUsage count="2">
        <fieldUsage x="-1"/>
        <fieldUsage x="0"/>
      </fieldsUsage>
    </cacheHierarchy>
    <cacheHierarchy uniqueName="[FirmSize].[firms]" caption="firms" attribute="1" defaultMemberUniqueName="[FirmSize].[firms].[All]" allUniqueName="[FirmSize].[firms].[All]" dimensionUniqueName="[FirmSize]" displayFolder="" count="0" memberValueDatatype="20" unbalanced="0"/>
    <cacheHierarchy uniqueName="[FirmSize].[estabs]" caption="estabs" attribute="1" defaultMemberUniqueName="[FirmSize].[estabs].[All]" allUniqueName="[FirmSize].[estabs].[All]" dimensionUniqueName="[FirmSize]" displayFolder="" count="0" memberValueDatatype="20" unbalanced="0"/>
    <cacheHierarchy uniqueName="[FirmSize].[emp]" caption="emp" attribute="1" defaultMemberUniqueName="[FirmSize].[emp].[All]" allUniqueName="[FirmSize].[emp].[All]" dimensionUniqueName="[FirmSize]" displayFolder="" count="0" memberValueDatatype="20" unbalanced="0"/>
    <cacheHierarchy uniqueName="[FirmSize].[denom]" caption="denom" attribute="1" defaultMemberUniqueName="[FirmSize].[denom].[All]" allUniqueName="[FirmSize].[denom].[All]" dimensionUniqueName="[FirmSize]" displayFolder="" count="0" memberValueDatatype="20" unbalanced="0"/>
    <cacheHierarchy uniqueName="[FirmSize].[estabs_entry]" caption="estabs_entry" attribute="1" defaultMemberUniqueName="[FirmSize].[estabs_entry].[All]" allUniqueName="[FirmSize].[estabs_entry].[All]" dimensionUniqueName="[FirmSize]" displayFolder="" count="0" memberValueDatatype="20" unbalanced="0"/>
    <cacheHierarchy uniqueName="[FirmSize].[estabs_entry_rate]" caption="estabs_entry_rate" attribute="1" defaultMemberUniqueName="[FirmSize].[estabs_entry_rate].[All]" allUniqueName="[FirmSize].[estabs_entry_rate].[All]" dimensionUniqueName="[FirmSize]" displayFolder="" count="0" memberValueDatatype="5" unbalanced="0"/>
    <cacheHierarchy uniqueName="[FirmSize].[estabs_exit]" caption="estabs_exit" attribute="1" defaultMemberUniqueName="[FirmSize].[estabs_exit].[All]" allUniqueName="[FirmSize].[estabs_exit].[All]" dimensionUniqueName="[FirmSize]" displayFolder="" count="0" memberValueDatatype="20" unbalanced="0"/>
    <cacheHierarchy uniqueName="[FirmSize].[estabs_exit_rate]" caption="estabs_exit_rate" attribute="1" defaultMemberUniqueName="[FirmSize].[estabs_exit_rate].[All]" allUniqueName="[FirmSize].[estabs_exit_rate].[All]" dimensionUniqueName="[FirmSize]" displayFolder="" count="0" memberValueDatatype="5" unbalanced="0"/>
    <cacheHierarchy uniqueName="[FirmSize].[job_creation]" caption="job_creation" attribute="1" defaultMemberUniqueName="[FirmSize].[job_creation].[All]" allUniqueName="[FirmSize].[job_creation].[All]" dimensionUniqueName="[FirmSize]" displayFolder="" count="0" memberValueDatatype="20" unbalanced="0"/>
    <cacheHierarchy uniqueName="[FirmSize].[job_creation_births]" caption="job_creation_births" attribute="1" defaultMemberUniqueName="[FirmSize].[job_creation_births].[All]" allUniqueName="[FirmSize].[job_creation_births].[All]" dimensionUniqueName="[FirmSize]" displayFolder="" count="0" memberValueDatatype="20" unbalanced="0"/>
    <cacheHierarchy uniqueName="[FirmSize].[job_creation_continuers]" caption="job_creation_continuers" attribute="1" defaultMemberUniqueName="[FirmSize].[job_creation_continuers].[All]" allUniqueName="[FirmSize].[job_creation_continuers].[All]" dimensionUniqueName="[FirmSize]" displayFolder="" count="0" memberValueDatatype="20" unbalanced="0"/>
    <cacheHierarchy uniqueName="[FirmSize].[job_creation_rate_births]" caption="job_creation_rate_births" attribute="1" defaultMemberUniqueName="[FirmSize].[job_creation_rate_births].[All]" allUniqueName="[FirmSize].[job_creation_rate_births].[All]" dimensionUniqueName="[FirmSize]" displayFolder="" count="0" memberValueDatatype="5" unbalanced="0"/>
    <cacheHierarchy uniqueName="[FirmSize].[job_creation_rate]" caption="job_creation_rate" attribute="1" defaultMemberUniqueName="[FirmSize].[job_creation_rate].[All]" allUniqueName="[FirmSize].[job_creation_rate].[All]" dimensionUniqueName="[FirmSize]" displayFolder="" count="0" memberValueDatatype="5" unbalanced="0"/>
    <cacheHierarchy uniqueName="[FirmSize].[job_destruction]" caption="job_destruction" attribute="1" defaultMemberUniqueName="[FirmSize].[job_destruction].[All]" allUniqueName="[FirmSize].[job_destruction].[All]" dimensionUniqueName="[FirmSize]" displayFolder="" count="0" memberValueDatatype="20" unbalanced="0"/>
    <cacheHierarchy uniqueName="[FirmSize].[job_destruction_deaths]" caption="job_destruction_deaths" attribute="1" defaultMemberUniqueName="[FirmSize].[job_destruction_deaths].[All]" allUniqueName="[FirmSize].[job_destruction_deaths].[All]" dimensionUniqueName="[FirmSize]" displayFolder="" count="0" memberValueDatatype="20" unbalanced="0"/>
    <cacheHierarchy uniqueName="[FirmSize].[job_destruction_continuers]" caption="job_destruction_continuers" attribute="1" defaultMemberUniqueName="[FirmSize].[job_destruction_continuers].[All]" allUniqueName="[FirmSize].[job_destruction_continuers].[All]" dimensionUniqueName="[FirmSize]" displayFolder="" count="0" memberValueDatatype="20" unbalanced="0"/>
    <cacheHierarchy uniqueName="[FirmSize].[job_destruction_rate_deaths]" caption="job_destruction_rate_deaths" attribute="1" defaultMemberUniqueName="[FirmSize].[job_destruction_rate_deaths].[All]" allUniqueName="[FirmSize].[job_destruction_rate_deaths].[All]" dimensionUniqueName="[FirmSize]" displayFolder="" count="0" memberValueDatatype="5" unbalanced="0"/>
    <cacheHierarchy uniqueName="[FirmSize].[job_destruction_rate]" caption="job_destruction_rate" attribute="1" defaultMemberUniqueName="[FirmSize].[job_destruction_rate].[All]" allUniqueName="[FirmSize].[job_destruction_rate].[All]" dimensionUniqueName="[FirmSize]" displayFolder="" count="0" memberValueDatatype="5" unbalanced="0"/>
    <cacheHierarchy uniqueName="[FirmSize].[net_job_creation]" caption="net_job_creation" attribute="1" defaultMemberUniqueName="[FirmSize].[net_job_creation].[All]" allUniqueName="[FirmSize].[net_job_creation].[All]" dimensionUniqueName="[FirmSize]" displayFolder="" count="0" memberValueDatatype="20" unbalanced="0"/>
    <cacheHierarchy uniqueName="[FirmSize].[net_job_creation_rate]" caption="net_job_creation_rate" attribute="1" defaultMemberUniqueName="[FirmSize].[net_job_creation_rate].[All]" allUniqueName="[FirmSize].[net_job_creation_rate].[All]" dimensionUniqueName="[FirmSize]" displayFolder="" count="0" memberValueDatatype="5" unbalanced="0"/>
    <cacheHierarchy uniqueName="[FirmSize].[reallocation_rate]" caption="reallocation_rate" attribute="1" defaultMemberUniqueName="[FirmSize].[reallocation_rate].[All]" allUniqueName="[FirmSize].[reallocation_rate].[All]" dimensionUniqueName="[FirmSize]" displayFolder="" count="0" memberValueDatatype="5" unbalanced="0"/>
    <cacheHierarchy uniqueName="[FirmSize].[firmdeath_firms]" caption="firmdeath_firms" attribute="1" defaultMemberUniqueName="[FirmSize].[firmdeath_firms].[All]" allUniqueName="[FirmSize].[firmdeath_firms].[All]" dimensionUniqueName="[FirmSize]" displayFolder="" count="0" memberValueDatatype="20" unbalanced="0"/>
    <cacheHierarchy uniqueName="[FirmSize].[firmdeath_estabs]" caption="firmdeath_estabs" attribute="1" defaultMemberUniqueName="[FirmSize].[firmdeath_estabs].[All]" allUniqueName="[FirmSize].[firmdeath_estabs].[All]" dimensionUniqueName="[FirmSize]" displayFolder="" count="0" memberValueDatatype="20" unbalanced="0"/>
    <cacheHierarchy uniqueName="[FirmSize].[firmdeath_emp]" caption="firmdeath_emp" attribute="1" defaultMemberUniqueName="[FirmSize].[firmdeath_emp].[All]" allUniqueName="[FirmSize].[firmdeath_emp].[All]" dimensionUniqueName="[FirmSize]" displayFolder="" count="0" memberValueDatatype="20" unbalanced="0"/>
    <cacheHierarchy uniqueName="[FirmSize].[Firm Size Order Ranking]" caption="Firm Size Order Ranking" attribute="1" defaultMemberUniqueName="[FirmSize].[Firm Size Order Ranking].[All]" allUniqueName="[FirmSize].[Firm Size Order Ranking].[All]" dimensionUniqueName="[FirmSize]" displayFolder="" count="0" memberValueDatatype="20" unbalanced="0"/>
    <cacheHierarchy uniqueName="[FirmSize].[Survival Rate]" caption="Survival Rate" attribute="1" defaultMemberUniqueName="[FirmSize].[Survival Rate].[All]" allUniqueName="[FirmSize].[Survival Rate].[All]" dimensionUniqueName="[FirmSize]" displayFolder="" count="0" memberValueDatatype="5" unbalanced="0"/>
    <cacheHierarchy uniqueName="[FirmSize].[Death Rate]" caption="Death Rate" attribute="1" defaultMemberUniqueName="[FirmSize].[Death Rate].[All]" allUniqueName="[FirmSize].[Death Rate].[All]" dimensionUniqueName="[FirmSize]" displayFolder="" count="0" memberValueDatatype="5" unbalanced="0"/>
    <cacheHierarchy uniqueName="[Measures].[Sum of firms]" caption="Sum of firms" measure="1" displayFolder="" measureGroup="FirmSize" count="0">
      <extLst>
        <ext xmlns:x15="http://schemas.microsoft.com/office/spreadsheetml/2010/11/main" uri="{B97F6D7D-B522-45F9-BDA1-12C45D357490}">
          <x15:cacheHierarchy aggregatedColumn="3"/>
        </ext>
      </extLst>
    </cacheHierarchy>
    <cacheHierarchy uniqueName="[Measures].[Sum of emp]" caption="Sum of emp" measure="1" displayFolder="" measureGroup="FirmSize" count="0">
      <extLst>
        <ext xmlns:x15="http://schemas.microsoft.com/office/spreadsheetml/2010/11/main" uri="{B97F6D7D-B522-45F9-BDA1-12C45D357490}">
          <x15:cacheHierarchy aggregatedColumn="5"/>
        </ext>
      </extLst>
    </cacheHierarchy>
    <cacheHierarchy uniqueName="[Measures].[Sum of estabs_entry_rate]" caption="Sum of estabs_entry_rate" measure="1" displayFolder="" measureGroup="FirmSize" count="0">
      <extLst>
        <ext xmlns:x15="http://schemas.microsoft.com/office/spreadsheetml/2010/11/main" uri="{B97F6D7D-B522-45F9-BDA1-12C45D357490}">
          <x15:cacheHierarchy aggregatedColumn="8"/>
        </ext>
      </extLst>
    </cacheHierarchy>
    <cacheHierarchy uniqueName="[Measures].[Sum of estabs_exit_rate]" caption="Sum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net_job_creation_rate]" caption="Sum of net_job_creation_rate" measure="1" displayFolder="" measureGroup="FirmSize" count="0">
      <extLst>
        <ext xmlns:x15="http://schemas.microsoft.com/office/spreadsheetml/2010/11/main" uri="{B97F6D7D-B522-45F9-BDA1-12C45D357490}">
          <x15:cacheHierarchy aggregatedColumn="22"/>
        </ext>
      </extLst>
    </cacheHierarchy>
    <cacheHierarchy uniqueName="[Measures].[Sum of reallocation_rate]" caption="Sum of reallocation_rate" measure="1" displayFolder="" measureGroup="FirmSize" count="0">
      <extLst>
        <ext xmlns:x15="http://schemas.microsoft.com/office/spreadsheetml/2010/11/main" uri="{B97F6D7D-B522-45F9-BDA1-12C45D357490}">
          <x15:cacheHierarchy aggregatedColumn="23"/>
        </ext>
      </extLst>
    </cacheHierarchy>
    <cacheHierarchy uniqueName="[Measures].[Sum of estabs]" caption="Sum of estabs" measure="1" displayFolder="" measureGroup="FirmSize" count="0">
      <extLst>
        <ext xmlns:x15="http://schemas.microsoft.com/office/spreadsheetml/2010/11/main" uri="{B97F6D7D-B522-45F9-BDA1-12C45D357490}">
          <x15:cacheHierarchy aggregatedColumn="4"/>
        </ext>
      </extLst>
    </cacheHierarchy>
    <cacheHierarchy uniqueName="[Measures].[Distinct Count of estabs_entry_rate]" caption="Distinct Count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ntry_rate]" caption="Average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xit_rate]" caption="Average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job_creation]" caption="Sum of job_creation" measure="1" displayFolder="" measureGroup="FirmSize" count="0">
      <extLst>
        <ext xmlns:x15="http://schemas.microsoft.com/office/spreadsheetml/2010/11/main" uri="{B97F6D7D-B522-45F9-BDA1-12C45D357490}">
          <x15:cacheHierarchy aggregatedColumn="11"/>
        </ext>
      </extLst>
    </cacheHierarchy>
    <cacheHierarchy uniqueName="[Measures].[Sum of job_destruction]" caption="Sum of job_destruction" measure="1" displayFolder="" measureGroup="FirmSize" count="0">
      <extLst>
        <ext xmlns:x15="http://schemas.microsoft.com/office/spreadsheetml/2010/11/main" uri="{B97F6D7D-B522-45F9-BDA1-12C45D357490}">
          <x15:cacheHierarchy aggregatedColumn="16"/>
        </ext>
      </extLst>
    </cacheHierarchy>
    <cacheHierarchy uniqueName="[Measures].[Sum of Death Rate]" caption="Sum of Death Rate" measure="1" displayFolder="" measureGroup="FirmSize" count="0">
      <extLst>
        <ext xmlns:x15="http://schemas.microsoft.com/office/spreadsheetml/2010/11/main" uri="{B97F6D7D-B522-45F9-BDA1-12C45D357490}">
          <x15:cacheHierarchy aggregatedColumn="29"/>
        </ext>
      </extLst>
    </cacheHierarchy>
    <cacheHierarchy uniqueName="[Measures].[Average of Death Rate]" caption="Average of Death Rate" measure="1" displayFolder="" measureGroup="FirmSize" count="0" oneField="1">
      <fieldsUsage count="1">
        <fieldUsage x="1"/>
      </fieldsUsage>
      <extLst>
        <ext xmlns:x15="http://schemas.microsoft.com/office/spreadsheetml/2010/11/main" uri="{B97F6D7D-B522-45F9-BDA1-12C45D357490}">
          <x15:cacheHierarchy aggregatedColumn="29"/>
        </ext>
      </extLst>
    </cacheHierarchy>
    <cacheHierarchy uniqueName="[Measures].[Total Firms]" caption="Total Firms" measure="1" displayFolder="" measureGroup="All Measures" count="0"/>
    <cacheHierarchy uniqueName="[Measures].[Total Employment]" caption="Total Employment" measure="1" displayFolder="" measureGroup="All Measures" count="0"/>
    <cacheHierarchy uniqueName="[Measures].[Average Entry Rate]" caption="Average Entry Rate" measure="1" displayFolder="" measureGroup="All Measures" count="0"/>
    <cacheHierarchy uniqueName="[Measures].[Average Exit Rate]" caption="Average Exit Rate" measure="1" displayFolder="" measureGroup="All Measures" count="0"/>
    <cacheHierarchy uniqueName="[Measures].[Average Net Job Creation Rate]" caption="Average Net Job Creation Rate" measure="1" displayFolder="" measureGroup="All Measures" count="0"/>
    <cacheHierarchy uniqueName="[Measures].[Average Reallocation Rate]" caption="Average Reallocation Rate" measure="1" displayFolder="" measureGroup="All Measures" count="0"/>
    <cacheHierarchy uniqueName="[Measures].[Average Survival Rate]" caption="Average Survival Rate" measure="1" displayFolder="" measureGroup="All Measures" count="0"/>
    <cacheHierarchy uniqueName="[Measures].[__XL_Count FirmSize]" caption="__XL_Count FirmSize" measure="1" displayFolder="" measureGroup="FirmSize"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3">
    <dimension name="All Measures" uniqueName="[All Measures]" caption="All Measures"/>
    <dimension name="FirmSize" uniqueName="[FirmSize]" caption="FirmSize"/>
    <dimension measure="1" name="Measures" uniqueName="[Measures]" caption="Measures"/>
  </dimensions>
  <measureGroups count="2">
    <measureGroup name="All Measures" caption="All Measures"/>
    <measureGroup name="FirmSize" caption="FirmSiz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5.46308425926" backgroundQuery="1" createdVersion="3" refreshedVersion="8" minRefreshableVersion="3" recordCount="0" supportSubquery="1" supportAdvancedDrill="1" xr:uid="{60AADE0B-7867-4423-90EA-1FDF932A0111}">
  <cacheSource type="external" connectionId="3">
    <extLst>
      <ext xmlns:x14="http://schemas.microsoft.com/office/spreadsheetml/2009/9/main" uri="{F057638F-6D5F-4e77-A914-E7F072B9BCA8}">
        <x14:sourceConnection name="ThisWorkbookDataModel"/>
      </ext>
    </extLst>
  </cacheSource>
  <cacheFields count="0"/>
  <cacheHierarchies count="54">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FirmSize].[year]" caption="year" attribute="1" defaultMemberUniqueName="[FirmSize].[year].[All]" allUniqueName="[FirmSize].[year].[All]" dimensionUniqueName="[FirmSize]" displayFolder="" count="2" memberValueDatatype="20" unbalanced="0"/>
    <cacheHierarchy uniqueName="[FirmSize].[FirmSize]" caption="FirmSize" attribute="1" defaultMemberUniqueName="[FirmSize].[FirmSize].[All]" allUniqueName="[FirmSize].[FirmSize].[All]" dimensionUniqueName="[FirmSize]" displayFolder="" count="2" memberValueDatatype="130" unbalanced="0"/>
    <cacheHierarchy uniqueName="[FirmSize].[firms]" caption="firms" attribute="1" defaultMemberUniqueName="[FirmSize].[firms].[All]" allUniqueName="[FirmSize].[firms].[All]" dimensionUniqueName="[FirmSize]" displayFolder="" count="0" memberValueDatatype="20" unbalanced="0"/>
    <cacheHierarchy uniqueName="[FirmSize].[estabs]" caption="estabs" attribute="1" defaultMemberUniqueName="[FirmSize].[estabs].[All]" allUniqueName="[FirmSize].[estabs].[All]" dimensionUniqueName="[FirmSize]" displayFolder="" count="0" memberValueDatatype="20" unbalanced="0"/>
    <cacheHierarchy uniqueName="[FirmSize].[emp]" caption="emp" attribute="1" defaultMemberUniqueName="[FirmSize].[emp].[All]" allUniqueName="[FirmSize].[emp].[All]" dimensionUniqueName="[FirmSize]" displayFolder="" count="0" memberValueDatatype="20" unbalanced="0"/>
    <cacheHierarchy uniqueName="[FirmSize].[denom]" caption="denom" attribute="1" defaultMemberUniqueName="[FirmSize].[denom].[All]" allUniqueName="[FirmSize].[denom].[All]" dimensionUniqueName="[FirmSize]" displayFolder="" count="0" memberValueDatatype="20" unbalanced="0"/>
    <cacheHierarchy uniqueName="[FirmSize].[estabs_entry]" caption="estabs_entry" attribute="1" defaultMemberUniqueName="[FirmSize].[estabs_entry].[All]" allUniqueName="[FirmSize].[estabs_entry].[All]" dimensionUniqueName="[FirmSize]" displayFolder="" count="0" memberValueDatatype="20" unbalanced="0"/>
    <cacheHierarchy uniqueName="[FirmSize].[estabs_entry_rate]" caption="estabs_entry_rate" attribute="1" defaultMemberUniqueName="[FirmSize].[estabs_entry_rate].[All]" allUniqueName="[FirmSize].[estabs_entry_rate].[All]" dimensionUniqueName="[FirmSize]" displayFolder="" count="0" memberValueDatatype="5" unbalanced="0"/>
    <cacheHierarchy uniqueName="[FirmSize].[estabs_exit]" caption="estabs_exit" attribute="1" defaultMemberUniqueName="[FirmSize].[estabs_exit].[All]" allUniqueName="[FirmSize].[estabs_exit].[All]" dimensionUniqueName="[FirmSize]" displayFolder="" count="0" memberValueDatatype="20" unbalanced="0"/>
    <cacheHierarchy uniqueName="[FirmSize].[estabs_exit_rate]" caption="estabs_exit_rate" attribute="1" defaultMemberUniqueName="[FirmSize].[estabs_exit_rate].[All]" allUniqueName="[FirmSize].[estabs_exit_rate].[All]" dimensionUniqueName="[FirmSize]" displayFolder="" count="0" memberValueDatatype="5" unbalanced="0"/>
    <cacheHierarchy uniqueName="[FirmSize].[job_creation]" caption="job_creation" attribute="1" defaultMemberUniqueName="[FirmSize].[job_creation].[All]" allUniqueName="[FirmSize].[job_creation].[All]" dimensionUniqueName="[FirmSize]" displayFolder="" count="0" memberValueDatatype="20" unbalanced="0"/>
    <cacheHierarchy uniqueName="[FirmSize].[job_creation_births]" caption="job_creation_births" attribute="1" defaultMemberUniqueName="[FirmSize].[job_creation_births].[All]" allUniqueName="[FirmSize].[job_creation_births].[All]" dimensionUniqueName="[FirmSize]" displayFolder="" count="0" memberValueDatatype="20" unbalanced="0"/>
    <cacheHierarchy uniqueName="[FirmSize].[job_creation_continuers]" caption="job_creation_continuers" attribute="1" defaultMemberUniqueName="[FirmSize].[job_creation_continuers].[All]" allUniqueName="[FirmSize].[job_creation_continuers].[All]" dimensionUniqueName="[FirmSize]" displayFolder="" count="0" memberValueDatatype="20" unbalanced="0"/>
    <cacheHierarchy uniqueName="[FirmSize].[job_creation_rate_births]" caption="job_creation_rate_births" attribute="1" defaultMemberUniqueName="[FirmSize].[job_creation_rate_births].[All]" allUniqueName="[FirmSize].[job_creation_rate_births].[All]" dimensionUniqueName="[FirmSize]" displayFolder="" count="0" memberValueDatatype="5" unbalanced="0"/>
    <cacheHierarchy uniqueName="[FirmSize].[job_creation_rate]" caption="job_creation_rate" attribute="1" defaultMemberUniqueName="[FirmSize].[job_creation_rate].[All]" allUniqueName="[FirmSize].[job_creation_rate].[All]" dimensionUniqueName="[FirmSize]" displayFolder="" count="0" memberValueDatatype="5" unbalanced="0"/>
    <cacheHierarchy uniqueName="[FirmSize].[job_destruction]" caption="job_destruction" attribute="1" defaultMemberUniqueName="[FirmSize].[job_destruction].[All]" allUniqueName="[FirmSize].[job_destruction].[All]" dimensionUniqueName="[FirmSize]" displayFolder="" count="0" memberValueDatatype="20" unbalanced="0"/>
    <cacheHierarchy uniqueName="[FirmSize].[job_destruction_deaths]" caption="job_destruction_deaths" attribute="1" defaultMemberUniqueName="[FirmSize].[job_destruction_deaths].[All]" allUniqueName="[FirmSize].[job_destruction_deaths].[All]" dimensionUniqueName="[FirmSize]" displayFolder="" count="0" memberValueDatatype="20" unbalanced="0"/>
    <cacheHierarchy uniqueName="[FirmSize].[job_destruction_continuers]" caption="job_destruction_continuers" attribute="1" defaultMemberUniqueName="[FirmSize].[job_destruction_continuers].[All]" allUniqueName="[FirmSize].[job_destruction_continuers].[All]" dimensionUniqueName="[FirmSize]" displayFolder="" count="0" memberValueDatatype="20" unbalanced="0"/>
    <cacheHierarchy uniqueName="[FirmSize].[job_destruction_rate_deaths]" caption="job_destruction_rate_deaths" attribute="1" defaultMemberUniqueName="[FirmSize].[job_destruction_rate_deaths].[All]" allUniqueName="[FirmSize].[job_destruction_rate_deaths].[All]" dimensionUniqueName="[FirmSize]" displayFolder="" count="0" memberValueDatatype="5" unbalanced="0"/>
    <cacheHierarchy uniqueName="[FirmSize].[job_destruction_rate]" caption="job_destruction_rate" attribute="1" defaultMemberUniqueName="[FirmSize].[job_destruction_rate].[All]" allUniqueName="[FirmSize].[job_destruction_rate].[All]" dimensionUniqueName="[FirmSize]" displayFolder="" count="0" memberValueDatatype="5" unbalanced="0"/>
    <cacheHierarchy uniqueName="[FirmSize].[net_job_creation]" caption="net_job_creation" attribute="1" defaultMemberUniqueName="[FirmSize].[net_job_creation].[All]" allUniqueName="[FirmSize].[net_job_creation].[All]" dimensionUniqueName="[FirmSize]" displayFolder="" count="0" memberValueDatatype="20" unbalanced="0"/>
    <cacheHierarchy uniqueName="[FirmSize].[net_job_creation_rate]" caption="net_job_creation_rate" attribute="1" defaultMemberUniqueName="[FirmSize].[net_job_creation_rate].[All]" allUniqueName="[FirmSize].[net_job_creation_rate].[All]" dimensionUniqueName="[FirmSize]" displayFolder="" count="0" memberValueDatatype="5" unbalanced="0"/>
    <cacheHierarchy uniqueName="[FirmSize].[reallocation_rate]" caption="reallocation_rate" attribute="1" defaultMemberUniqueName="[FirmSize].[reallocation_rate].[All]" allUniqueName="[FirmSize].[reallocation_rate].[All]" dimensionUniqueName="[FirmSize]" displayFolder="" count="0" memberValueDatatype="5" unbalanced="0"/>
    <cacheHierarchy uniqueName="[FirmSize].[firmdeath_firms]" caption="firmdeath_firms" attribute="1" defaultMemberUniqueName="[FirmSize].[firmdeath_firms].[All]" allUniqueName="[FirmSize].[firmdeath_firms].[All]" dimensionUniqueName="[FirmSize]" displayFolder="" count="0" memberValueDatatype="20" unbalanced="0"/>
    <cacheHierarchy uniqueName="[FirmSize].[firmdeath_estabs]" caption="firmdeath_estabs" attribute="1" defaultMemberUniqueName="[FirmSize].[firmdeath_estabs].[All]" allUniqueName="[FirmSize].[firmdeath_estabs].[All]" dimensionUniqueName="[FirmSize]" displayFolder="" count="0" memberValueDatatype="20" unbalanced="0"/>
    <cacheHierarchy uniqueName="[FirmSize].[firmdeath_emp]" caption="firmdeath_emp" attribute="1" defaultMemberUniqueName="[FirmSize].[firmdeath_emp].[All]" allUniqueName="[FirmSize].[firmdeath_emp].[All]" dimensionUniqueName="[FirmSize]" displayFolder="" count="0" memberValueDatatype="20" unbalanced="0"/>
    <cacheHierarchy uniqueName="[FirmSize].[Firm Size Order Ranking]" caption="Firm Size Order Ranking" attribute="1" defaultMemberUniqueName="[FirmSize].[Firm Size Order Ranking].[All]" allUniqueName="[FirmSize].[Firm Size Order Ranking].[All]" dimensionUniqueName="[FirmSize]" displayFolder="" count="0" memberValueDatatype="20" unbalanced="0"/>
    <cacheHierarchy uniqueName="[FirmSize].[Survival Rate]" caption="Survival Rate" attribute="1" defaultMemberUniqueName="[FirmSize].[Survival Rate].[All]" allUniqueName="[FirmSize].[Survival Rate].[All]" dimensionUniqueName="[FirmSize]" displayFolder="" count="0" memberValueDatatype="5" unbalanced="0"/>
    <cacheHierarchy uniqueName="[FirmSize].[Death Rate]" caption="Death Rate" attribute="1" defaultMemberUniqueName="[FirmSize].[Death Rate].[All]" allUniqueName="[FirmSize].[Death Rate].[All]" dimensionUniqueName="[FirmSize]" displayFolder="" count="0" memberValueDatatype="5" unbalanced="0"/>
    <cacheHierarchy uniqueName="[Measures].[Sum of firms]" caption="Sum of firms" measure="1" displayFolder="" measureGroup="FirmSize" count="0">
      <extLst>
        <ext xmlns:x15="http://schemas.microsoft.com/office/spreadsheetml/2010/11/main" uri="{B97F6D7D-B522-45F9-BDA1-12C45D357490}">
          <x15:cacheHierarchy aggregatedColumn="3"/>
        </ext>
      </extLst>
    </cacheHierarchy>
    <cacheHierarchy uniqueName="[Measures].[Sum of emp]" caption="Sum of emp" measure="1" displayFolder="" measureGroup="FirmSize" count="0">
      <extLst>
        <ext xmlns:x15="http://schemas.microsoft.com/office/spreadsheetml/2010/11/main" uri="{B97F6D7D-B522-45F9-BDA1-12C45D357490}">
          <x15:cacheHierarchy aggregatedColumn="5"/>
        </ext>
      </extLst>
    </cacheHierarchy>
    <cacheHierarchy uniqueName="[Measures].[Sum of estabs_entry_rate]" caption="Sum of estabs_entry_rate" measure="1" displayFolder="" measureGroup="FirmSize" count="0">
      <extLst>
        <ext xmlns:x15="http://schemas.microsoft.com/office/spreadsheetml/2010/11/main" uri="{B97F6D7D-B522-45F9-BDA1-12C45D357490}">
          <x15:cacheHierarchy aggregatedColumn="8"/>
        </ext>
      </extLst>
    </cacheHierarchy>
    <cacheHierarchy uniqueName="[Measures].[Sum of estabs_exit_rate]" caption="Sum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net_job_creation_rate]" caption="Sum of net_job_creation_rate" measure="1" displayFolder="" measureGroup="FirmSize" count="0">
      <extLst>
        <ext xmlns:x15="http://schemas.microsoft.com/office/spreadsheetml/2010/11/main" uri="{B97F6D7D-B522-45F9-BDA1-12C45D357490}">
          <x15:cacheHierarchy aggregatedColumn="22"/>
        </ext>
      </extLst>
    </cacheHierarchy>
    <cacheHierarchy uniqueName="[Measures].[Sum of reallocation_rate]" caption="Sum of reallocation_rate" measure="1" displayFolder="" measureGroup="FirmSize" count="0">
      <extLst>
        <ext xmlns:x15="http://schemas.microsoft.com/office/spreadsheetml/2010/11/main" uri="{B97F6D7D-B522-45F9-BDA1-12C45D357490}">
          <x15:cacheHierarchy aggregatedColumn="23"/>
        </ext>
      </extLst>
    </cacheHierarchy>
    <cacheHierarchy uniqueName="[Measures].[Sum of estabs]" caption="Sum of estabs" measure="1" displayFolder="" measureGroup="FirmSize" count="0">
      <extLst>
        <ext xmlns:x15="http://schemas.microsoft.com/office/spreadsheetml/2010/11/main" uri="{B97F6D7D-B522-45F9-BDA1-12C45D357490}">
          <x15:cacheHierarchy aggregatedColumn="4"/>
        </ext>
      </extLst>
    </cacheHierarchy>
    <cacheHierarchy uniqueName="[Measures].[Distinct Count of estabs_entry_rate]" caption="Distinct Count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ntry_rate]" caption="Average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xit_rate]" caption="Average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job_creation]" caption="Sum of job_creation" measure="1" displayFolder="" measureGroup="FirmSize" count="0">
      <extLst>
        <ext xmlns:x15="http://schemas.microsoft.com/office/spreadsheetml/2010/11/main" uri="{B97F6D7D-B522-45F9-BDA1-12C45D357490}">
          <x15:cacheHierarchy aggregatedColumn="11"/>
        </ext>
      </extLst>
    </cacheHierarchy>
    <cacheHierarchy uniqueName="[Measures].[Sum of job_destruction]" caption="Sum of job_destruction" measure="1" displayFolder="" measureGroup="FirmSize" count="0">
      <extLst>
        <ext xmlns:x15="http://schemas.microsoft.com/office/spreadsheetml/2010/11/main" uri="{B97F6D7D-B522-45F9-BDA1-12C45D357490}">
          <x15:cacheHierarchy aggregatedColumn="16"/>
        </ext>
      </extLst>
    </cacheHierarchy>
    <cacheHierarchy uniqueName="[Measures].[Sum of Death Rate]" caption="Sum of Death Rate" measure="1" displayFolder="" measureGroup="FirmSize" count="0">
      <extLst>
        <ext xmlns:x15="http://schemas.microsoft.com/office/spreadsheetml/2010/11/main" uri="{B97F6D7D-B522-45F9-BDA1-12C45D357490}">
          <x15:cacheHierarchy aggregatedColumn="29"/>
        </ext>
      </extLst>
    </cacheHierarchy>
    <cacheHierarchy uniqueName="[Measures].[Average of Death Rate]" caption="Average of Death Rate" measure="1" displayFolder="" measureGroup="FirmSize" count="0">
      <extLst>
        <ext xmlns:x15="http://schemas.microsoft.com/office/spreadsheetml/2010/11/main" uri="{B97F6D7D-B522-45F9-BDA1-12C45D357490}">
          <x15:cacheHierarchy aggregatedColumn="29"/>
        </ext>
      </extLst>
    </cacheHierarchy>
    <cacheHierarchy uniqueName="[Measures].[Total Firms]" caption="Total Firms" measure="1" displayFolder="" measureGroup="All Measures" count="0"/>
    <cacheHierarchy uniqueName="[Measures].[Total Employment]" caption="Total Employment" measure="1" displayFolder="" measureGroup="All Measures" count="0"/>
    <cacheHierarchy uniqueName="[Measures].[Average Entry Rate]" caption="Average Entry Rate" measure="1" displayFolder="" measureGroup="All Measures" count="0"/>
    <cacheHierarchy uniqueName="[Measures].[Average Exit Rate]" caption="Average Exit Rate" measure="1" displayFolder="" measureGroup="All Measures" count="0"/>
    <cacheHierarchy uniqueName="[Measures].[Average Net Job Creation Rate]" caption="Average Net Job Creation Rate" measure="1" displayFolder="" measureGroup="All Measures" count="0"/>
    <cacheHierarchy uniqueName="[Measures].[Average Reallocation Rate]" caption="Average Reallocation Rate" measure="1" displayFolder="" measureGroup="All Measures" count="0"/>
    <cacheHierarchy uniqueName="[Measures].[Average Survival Rate]" caption="Average Survival Rate" measure="1" displayFolder="" measureGroup="All Measures" count="0"/>
    <cacheHierarchy uniqueName="[Measures].[__XL_Count FirmSize]" caption="__XL_Count FirmSize" measure="1" displayFolder="" measureGroup="FirmSize"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07986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A90146-5691-4B24-A8BF-EC754BFD90F4}" name="PivotTable5" cacheId="0" applyNumberFormats="0" applyBorderFormats="0" applyFontFormats="0" applyPatternFormats="0" applyAlignmentFormats="0" applyWidthHeightFormats="1" dataCaption="Values" tag="c8c478af-1976-4507-878d-875daa15a522" updatedVersion="8" minRefreshableVersion="3" useAutoFormatting="1" subtotalHiddenItems="1" itemPrintTitles="1" createdVersion="8" indent="0" outline="1" outlineData="1" multipleFieldFilters="0">
  <location ref="A3:G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Items count="1">
    <i/>
  </rowItems>
  <colFields count="1">
    <field x="-2"/>
  </colFields>
  <colItems count="7">
    <i>
      <x/>
    </i>
    <i i="1">
      <x v="1"/>
    </i>
    <i i="2">
      <x v="2"/>
    </i>
    <i i="3">
      <x v="3"/>
    </i>
    <i i="4">
      <x v="4"/>
    </i>
    <i i="5">
      <x v="5"/>
    </i>
    <i i="6">
      <x v="6"/>
    </i>
  </colItems>
  <dataFields count="7">
    <dataField fld="0" subtotal="count" baseField="0" baseItem="0" numFmtId="166"/>
    <dataField fld="2" subtotal="count" baseField="0" baseItem="0" numFmtId="166"/>
    <dataField fld="1" subtotal="count" baseField="0" baseItem="0" numFmtId="164"/>
    <dataField fld="3" subtotal="count" baseField="0" baseItem="0" numFmtId="164"/>
    <dataField fld="7" subtotal="count" baseField="0" baseItem="0" numFmtId="164"/>
    <dataField fld="5" subtotal="count" baseField="0" baseItem="0" numFmtId="164"/>
    <dataField fld="4" subtotal="count" baseField="0" baseItem="0" numFmtId="10"/>
  </dataFields>
  <formats count="7">
    <format dxfId="6">
      <pivotArea outline="0" collapsedLevelsAreSubtotals="1" fieldPosition="0">
        <references count="1">
          <reference field="4294967294" count="1" selected="0">
            <x v="2"/>
          </reference>
        </references>
      </pivotArea>
    </format>
    <format dxfId="5">
      <pivotArea outline="0" fieldPosition="0">
        <references count="1">
          <reference field="4294967294" count="1">
            <x v="6"/>
          </reference>
        </references>
      </pivotArea>
    </format>
    <format dxfId="4">
      <pivotArea outline="0" fieldPosition="0">
        <references count="1">
          <reference field="4294967294" count="1">
            <x v="3"/>
          </reference>
        </references>
      </pivotArea>
    </format>
    <format dxfId="3">
      <pivotArea outline="0" fieldPosition="0">
        <references count="1">
          <reference field="4294967294" count="1">
            <x v="5"/>
          </reference>
        </references>
      </pivotArea>
    </format>
    <format dxfId="2">
      <pivotArea outline="0" fieldPosition="0">
        <references count="1">
          <reference field="4294967294" count="1">
            <x v="0"/>
          </reference>
        </references>
      </pivotArea>
    </format>
    <format dxfId="1">
      <pivotArea outline="0" fieldPosition="0">
        <references count="1">
          <reference field="4294967294" count="1">
            <x v="1"/>
          </reference>
        </references>
      </pivotArea>
    </format>
    <format dxfId="0">
      <pivotArea outline="0" fieldPosition="0">
        <references count="1">
          <reference field="4294967294" count="1">
            <x v="4"/>
          </reference>
        </references>
      </pivotArea>
    </format>
  </formats>
  <pivotHierarchies count="54">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 Measures]"/>
        <x15:activeTabTopLevelEntity name="[FirmSiz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F5FFB0-FDBE-4938-ACD8-33C1DB26E508}" name="PivotTable14" cacheId="1" applyNumberFormats="0" applyBorderFormats="0" applyFontFormats="0" applyPatternFormats="0" applyAlignmentFormats="0" applyWidthHeightFormats="1" dataCaption="Values" tag="ef53837f-ceb6-40f9-9f46-b786e52191d4" updatedVersion="8" minRefreshableVersion="3" useAutoFormatting="1" rowGrandTotals="0" colGrandTotals="0" itemPrintTitles="1" createdVersion="8" indent="0" compact="0" compactData="0" multipleFieldFilters="0">
  <location ref="A21:D31" firstHeaderRow="0" firstDataRow="1" firstDataCol="1"/>
  <pivotFields count="5">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3">
    <i>
      <x/>
    </i>
    <i i="1">
      <x v="1"/>
    </i>
    <i i="2">
      <x v="2"/>
    </i>
  </colItems>
  <dataFields count="3">
    <dataField name="Sum of firms" fld="1" baseField="0" baseItem="0" numFmtId="166"/>
    <dataField name="Sum of estabs" fld="2" baseField="0" baseItem="0" numFmtId="166"/>
    <dataField name="Sum of emp" fld="3" baseField="0" baseItem="0" numFmtId="166"/>
  </dataField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rmSiz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1C3076-CFBD-4ED1-AE22-AD277298CB50}" name="PivotTable9" cacheId="2" applyNumberFormats="0" applyBorderFormats="0" applyFontFormats="0" applyPatternFormats="0" applyAlignmentFormats="0" applyWidthHeightFormats="1" dataCaption="Values" tag="57c1e09a-f02f-4657-833a-05552c0f42e5" updatedVersion="8" minRefreshableVersion="3" useAutoFormatting="1" subtotalHiddenItems="1" rowGrandTotals="0" colGrandTotals="0" itemPrintTitles="1" createdVersion="8" indent="0" compact="0" compactData="0" multipleFieldFilters="0" chartFormat="26">
  <location ref="A8:B18" firstHeaderRow="1" firstDataRow="1" firstDataCol="1"/>
  <pivotFields count="3">
    <pivotField axis="axisRow" compact="0" allDrilled="1" outline="0" subtotalTop="0" showAll="0" dataSourceSort="1" defaultSubtotal="0">
      <items count="10">
        <item x="0" e="0"/>
        <item x="1" e="0"/>
        <item x="2" e="0"/>
        <item x="3" e="0"/>
        <item x="4" e="0"/>
        <item x="5" e="0"/>
        <item x="6" e="0"/>
        <item x="7" e="0"/>
        <item x="8" e="0"/>
        <item x="9" e="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Sum of firms" fld="1" baseField="0" baseItem="0" numFmtId="166"/>
  </dataFields>
  <chartFormats count="1">
    <chartFormat chart="17" format="3"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rmSiz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D5FEC2-7036-4E42-8994-3B3B854A03CB}" name="PivotTable3" cacheId="5" applyNumberFormats="0" applyBorderFormats="0" applyFontFormats="0" applyPatternFormats="0" applyAlignmentFormats="0" applyWidthHeightFormats="1" dataCaption="Values" tag="66e305e0-0aaa-4e3a-9a82-e2f8daa832d0" updatedVersion="8" minRefreshableVersion="3" useAutoFormatting="1" subtotalHiddenItems="1" rowGrandTotals="0" colGrandTotals="0" itemPrintTitles="1" createdVersion="8" indent="0" compact="0" compactData="0" multipleFieldFilters="0" chartFormat="9">
  <location ref="A90:B100" firstHeaderRow="1" firstDataRow="1" firstDataCol="1"/>
  <pivotFields count="3">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Average of Death Rate" fld="1" subtotal="average" baseField="0" baseItem="0" numFmtId="10"/>
  </dataFields>
  <chartFormats count="1">
    <chartFormat chart="6"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rmSiz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19DAE8-49CB-44D2-B9A6-FCB8F84F104B}" name="PivotTable2" cacheId="4" applyNumberFormats="0" applyBorderFormats="0" applyFontFormats="0" applyPatternFormats="0" applyAlignmentFormats="0" applyWidthHeightFormats="1" dataCaption="Values" tag="84004f96-8e61-4bfe-b278-2a6418dbf121" updatedVersion="8" minRefreshableVersion="3" useAutoFormatting="1" rowGrandTotals="0" colGrandTotals="0" itemPrintTitles="1" createdVersion="8" indent="0" compact="0" compactData="0" multipleFieldFilters="0" chartFormat="15">
  <location ref="A61:C71" firstHeaderRow="0" firstDataRow="1" firstDataCol="1"/>
  <pivotFields count="4">
    <pivotField dataField="1" compact="0" outline="0" subtotalTop="0" showAll="0" defaultSubtotal="0"/>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10">
    <i>
      <x/>
    </i>
    <i>
      <x v="1"/>
    </i>
    <i>
      <x v="2"/>
    </i>
    <i>
      <x v="3"/>
    </i>
    <i>
      <x v="4"/>
    </i>
    <i>
      <x v="5"/>
    </i>
    <i>
      <x v="6"/>
    </i>
    <i>
      <x v="7"/>
    </i>
    <i>
      <x v="8"/>
    </i>
    <i>
      <x v="9"/>
    </i>
  </rowItems>
  <colFields count="1">
    <field x="-2"/>
  </colFields>
  <colItems count="2">
    <i>
      <x/>
    </i>
    <i i="1">
      <x v="1"/>
    </i>
  </colItems>
  <dataFields count="2">
    <dataField name="Sum of job_creation" fld="0" baseField="0" baseItem="0" numFmtId="166"/>
    <dataField name="Sum of job_destruction" fld="2" baseField="0" baseItem="0" numFmtId="166"/>
  </dataField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rmSiz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276545-3354-463D-8216-639F5FE47A5C}" name="PivotTable1" cacheId="3" applyNumberFormats="0" applyBorderFormats="0" applyFontFormats="0" applyPatternFormats="0" applyAlignmentFormats="0" applyWidthHeightFormats="1" dataCaption="Values" tag="9a10a4a1-0590-4381-8185-efbf2ff33ce6" updatedVersion="8" minRefreshableVersion="3" useAutoFormatting="1" rowGrandTotals="0" colGrandTotals="0" itemPrintTitles="1" createdVersion="8" indent="0" compact="0" compactData="0" multipleFieldFilters="0" chartFormat="16">
  <location ref="A49:C59" firstHeaderRow="0" firstDataRow="1" firstDataCol="1"/>
  <pivotFields count="4">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name="Average of estabs_entry_rate" fld="1" subtotal="average" baseField="0" baseItem="0" numFmtId="164"/>
    <dataField name="Average of estabs_exit_rate" fld="2" subtotal="average" baseField="0" baseItem="0" numFmtId="164"/>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rmSiz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5AAD0CD-76DF-43AF-B060-9072679FB65D}" sourceName="[FirmSize].[year]">
  <pivotTables>
    <pivotTable tabId="2" name="PivotTable5"/>
    <pivotTable tabId="2" name="PivotTable14"/>
    <pivotTable tabId="2" name="PivotTable9"/>
    <pivotTable tabId="2" name="PivotTable1"/>
    <pivotTable tabId="2" name="PivotTable2"/>
    <pivotTable tabId="2" name="PivotTable3"/>
  </pivotTables>
  <data>
    <olap pivotCacheId="90798600">
      <levels count="2">
        <level uniqueName="[FirmSize].[year].[(All)]" sourceCaption="(All)" count="0"/>
        <level uniqueName="[FirmSize].[year].[year]" sourceCaption="year" count="16">
          <ranges>
            <range startItem="0">
              <i n="[FirmSize].[year].&amp;[2008]" c="2008"/>
              <i n="[FirmSize].[year].&amp;[2009]" c="2009"/>
              <i n="[FirmSize].[year].&amp;[2010]" c="2010"/>
              <i n="[FirmSize].[year].&amp;[2011]" c="2011"/>
              <i n="[FirmSize].[year].&amp;[2012]" c="2012"/>
              <i n="[FirmSize].[year].&amp;[2013]" c="2013"/>
              <i n="[FirmSize].[year].&amp;[2014]" c="2014"/>
              <i n="[FirmSize].[year].&amp;[2015]" c="2015"/>
              <i n="[FirmSize].[year].&amp;[2016]" c="2016"/>
              <i n="[FirmSize].[year].&amp;[2017]" c="2017"/>
              <i n="[FirmSize].[year].&amp;[2018]" c="2018"/>
              <i n="[FirmSize].[year].&amp;[2019]" c="2019"/>
              <i n="[FirmSize].[year].&amp;[2020]" c="2020"/>
              <i n="[FirmSize].[year].&amp;[2021]" c="2021"/>
              <i n="[FirmSize].[year].&amp;[2022]" c="2022"/>
              <i n="[FirmSize].[year].&amp;[2023]" c="2023"/>
            </range>
          </ranges>
        </level>
      </levels>
      <selections count="1">
        <selection n="[FirmSiz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Size" xr10:uid="{E4ECF72E-7C2B-4D35-B8C0-D49DEFC8288E}" sourceName="[FirmSize].[FirmSize]">
  <pivotTables>
    <pivotTable tabId="2" name="PivotTable5"/>
  </pivotTables>
  <data>
    <olap pivotCacheId="90798600">
      <levels count="2">
        <level uniqueName="[FirmSize].[FirmSize].[(All)]" sourceCaption="(All)" count="0"/>
        <level uniqueName="[FirmSize].[FirmSize].[FirmSize]" sourceCaption="FirmSize" count="10">
          <ranges>
            <range startItem="0">
              <i n="[FirmSize].[FirmSize].&amp;[1 to 4]" c="1 to 4"/>
              <i n="[FirmSize].[FirmSize].&amp;[5 to 9]" c="5 to 9"/>
              <i n="[FirmSize].[FirmSize].&amp;[10 to 19]" c="10 to 19"/>
              <i n="[FirmSize].[FirmSize].&amp;[20 to 99]" c="20 to 99"/>
              <i n="[FirmSize].[FirmSize].&amp;[100 to 499]" c="100 to 499"/>
              <i n="[FirmSize].[FirmSize].&amp;[500 to 999]" c="500 to 999"/>
              <i n="[FirmSize].[FirmSize].&amp;[1000 to 2499]" c="1000 to 2499"/>
              <i n="[FirmSize].[FirmSize].&amp;[2500 to 4999]" c="2500 to 4999"/>
              <i n="[FirmSize].[FirmSize].&amp;[5000 to 9999]" c="5000 to 9999"/>
              <i n="[FirmSize].[FirmSize].&amp;[10000+]" c="10000+"/>
            </range>
          </ranges>
        </level>
      </levels>
      <selections count="1">
        <selection n="[FirmSize].[FirmSiz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DEFF83B-8A26-4418-A936-C90202BEFD53}" cache="Slicer_year" caption="Years" columnCount="2" showCaption="0" level="1" style="SLICER" rowHeight="360000"/>
  <slicer name="FirmSize" xr10:uid="{149A4F45-339D-4F92-B24C-59094B647FF9}" cache="Slicer_FirmSize" caption="Firm Size" startItem="8" columnCount="2" showCaption="0" level="1" style="SLICER"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2DD2D-B7C7-482F-9614-85FF76A31D6C}">
  <dimension ref="R4"/>
  <sheetViews>
    <sheetView showFormulas="1" showGridLines="0" zoomScale="70" zoomScaleNormal="70" workbookViewId="0">
      <selection activeCell="K23" sqref="K23"/>
    </sheetView>
  </sheetViews>
  <sheetFormatPr defaultRowHeight="15" x14ac:dyDescent="0.25"/>
  <sheetData>
    <row r="4" spans="18:18" x14ac:dyDescent="0.25">
      <c r="R4" s="5"/>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31" r:id="rId4" name="Option Button 7">
              <controlPr defaultSize="0" autoFill="0" autoLine="0" autoPict="0">
                <anchor moveWithCells="1">
                  <from>
                    <xdr:col>1</xdr:col>
                    <xdr:colOff>161925</xdr:colOff>
                    <xdr:row>13</xdr:row>
                    <xdr:rowOff>66675</xdr:rowOff>
                  </from>
                  <to>
                    <xdr:col>1</xdr:col>
                    <xdr:colOff>542925</xdr:colOff>
                    <xdr:row>14</xdr:row>
                    <xdr:rowOff>133350</xdr:rowOff>
                  </to>
                </anchor>
              </controlPr>
            </control>
          </mc:Choice>
        </mc:AlternateContent>
        <mc:AlternateContent xmlns:mc="http://schemas.openxmlformats.org/markup-compatibility/2006">
          <mc:Choice Requires="x14">
            <control shapeId="1032" r:id="rId5" name="Option Button 8">
              <controlPr defaultSize="0" autoFill="0" autoLine="0" autoPict="0">
                <anchor moveWithCells="1">
                  <from>
                    <xdr:col>1</xdr:col>
                    <xdr:colOff>600075</xdr:colOff>
                    <xdr:row>13</xdr:row>
                    <xdr:rowOff>66675</xdr:rowOff>
                  </from>
                  <to>
                    <xdr:col>3</xdr:col>
                    <xdr:colOff>9525</xdr:colOff>
                    <xdr:row>14</xdr:row>
                    <xdr:rowOff>133350</xdr:rowOff>
                  </to>
                </anchor>
              </controlPr>
            </control>
          </mc:Choice>
        </mc:AlternateContent>
        <mc:AlternateContent xmlns:mc="http://schemas.openxmlformats.org/markup-compatibility/2006">
          <mc:Choice Requires="x14">
            <control shapeId="1033" r:id="rId6" name="Option Button 9">
              <controlPr defaultSize="0" autoFill="0" autoLine="0" autoPict="0">
                <anchor moveWithCells="1">
                  <from>
                    <xdr:col>3</xdr:col>
                    <xdr:colOff>57150</xdr:colOff>
                    <xdr:row>13</xdr:row>
                    <xdr:rowOff>66675</xdr:rowOff>
                  </from>
                  <to>
                    <xdr:col>3</xdr:col>
                    <xdr:colOff>542925</xdr:colOff>
                    <xdr:row>14</xdr:row>
                    <xdr:rowOff>133350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2</xdr:col>
                    <xdr:colOff>523875</xdr:colOff>
                    <xdr:row>24</xdr:row>
                    <xdr:rowOff>28575</xdr:rowOff>
                  </from>
                  <to>
                    <xdr:col>3</xdr:col>
                    <xdr:colOff>457200</xdr:colOff>
                    <xdr:row>26</xdr:row>
                    <xdr:rowOff>114300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3</xdr:col>
                    <xdr:colOff>571500</xdr:colOff>
                    <xdr:row>24</xdr:row>
                    <xdr:rowOff>28575</xdr:rowOff>
                  </from>
                  <to>
                    <xdr:col>4</xdr:col>
                    <xdr:colOff>457200</xdr:colOff>
                    <xdr:row>26</xdr:row>
                    <xdr:rowOff>76200</xdr:rowOff>
                  </to>
                </anchor>
              </controlPr>
            </control>
          </mc:Choice>
        </mc:AlternateContent>
      </controls>
    </mc:Choice>
  </mc:AlternateContent>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B7F12-AC2B-491D-8C40-741001337096}">
  <dimension ref="A3:G100"/>
  <sheetViews>
    <sheetView workbookViewId="0">
      <selection activeCell="A9" sqref="A9:B9"/>
      <pivotSelection pane="bottomRight" showHeader="1" extendable="1" axis="axisRow" max="10" activeRow="8" previousRow="8" click="1" r:id="rId3">
        <pivotArea dataOnly="0" outline="0" fieldPosition="0">
          <references count="1">
            <reference field="0" count="1">
              <x v="0"/>
            </reference>
          </references>
        </pivotArea>
      </pivotSelection>
    </sheetView>
  </sheetViews>
  <sheetFormatPr defaultRowHeight="15" x14ac:dyDescent="0.25"/>
  <cols>
    <col min="1" max="1" width="11.7109375" bestFit="1" customWidth="1"/>
    <col min="2" max="2" width="21" bestFit="1" customWidth="1"/>
    <col min="3" max="3" width="22" bestFit="1" customWidth="1"/>
    <col min="4" max="4" width="11.5703125" bestFit="1" customWidth="1"/>
    <col min="5" max="5" width="28.42578125" bestFit="1" customWidth="1"/>
    <col min="6" max="6" width="20.42578125" bestFit="1" customWidth="1"/>
    <col min="7" max="7" width="24.5703125" bestFit="1" customWidth="1"/>
    <col min="8" max="10" width="16.28515625" bestFit="1" customWidth="1"/>
    <col min="11" max="11" width="11.28515625" bestFit="1" customWidth="1"/>
    <col min="12" max="26" width="6" bestFit="1" customWidth="1"/>
    <col min="27" max="27" width="5" bestFit="1" customWidth="1"/>
    <col min="28" max="34" width="6" bestFit="1" customWidth="1"/>
    <col min="35" max="35" width="5" bestFit="1" customWidth="1"/>
    <col min="36" max="37" width="6" bestFit="1" customWidth="1"/>
    <col min="38" max="38" width="5" bestFit="1" customWidth="1"/>
    <col min="39" max="86" width="6" bestFit="1" customWidth="1"/>
    <col min="87" max="87" width="5" bestFit="1" customWidth="1"/>
    <col min="88" max="93" width="6" bestFit="1" customWidth="1"/>
    <col min="94" max="94" width="5" bestFit="1" customWidth="1"/>
    <col min="95" max="99" width="6" bestFit="1" customWidth="1"/>
    <col min="100" max="100" width="5" bestFit="1" customWidth="1"/>
    <col min="101" max="101" width="6" bestFit="1" customWidth="1"/>
    <col min="102" max="102" width="5" bestFit="1" customWidth="1"/>
    <col min="103" max="108" width="6" bestFit="1" customWidth="1"/>
    <col min="109" max="109" width="5" bestFit="1" customWidth="1"/>
    <col min="110" max="113" width="6" bestFit="1" customWidth="1"/>
    <col min="114" max="114" width="5" bestFit="1" customWidth="1"/>
    <col min="115" max="118" width="6" bestFit="1" customWidth="1"/>
    <col min="119" max="119" width="5" bestFit="1" customWidth="1"/>
    <col min="120" max="121" width="6" bestFit="1" customWidth="1"/>
    <col min="122" max="122" width="5" bestFit="1" customWidth="1"/>
    <col min="123" max="124" width="6" bestFit="1" customWidth="1"/>
    <col min="125" max="125" width="5" bestFit="1" customWidth="1"/>
    <col min="126" max="167" width="6" bestFit="1" customWidth="1"/>
    <col min="168" max="168" width="5" bestFit="1" customWidth="1"/>
    <col min="169" max="177" width="6" bestFit="1" customWidth="1"/>
    <col min="178" max="178" width="5" bestFit="1" customWidth="1"/>
    <col min="179" max="183" width="6" bestFit="1" customWidth="1"/>
    <col min="184" max="184" width="5" bestFit="1" customWidth="1"/>
    <col min="185" max="188" width="6" bestFit="1" customWidth="1"/>
    <col min="189" max="189" width="5" bestFit="1" customWidth="1"/>
    <col min="190" max="193" width="6" bestFit="1" customWidth="1"/>
    <col min="194" max="194" width="5" bestFit="1" customWidth="1"/>
    <col min="195" max="197" width="6" bestFit="1" customWidth="1"/>
    <col min="198" max="198" width="5" bestFit="1" customWidth="1"/>
    <col min="199" max="204" width="6" bestFit="1" customWidth="1"/>
    <col min="205" max="205" width="5" bestFit="1" customWidth="1"/>
    <col min="206" max="225" width="6" bestFit="1" customWidth="1"/>
    <col min="226" max="226" width="5" bestFit="1" customWidth="1"/>
    <col min="227" max="235" width="6" bestFit="1" customWidth="1"/>
    <col min="236" max="236" width="5" bestFit="1" customWidth="1"/>
    <col min="237" max="239" width="6" bestFit="1" customWidth="1"/>
    <col min="240" max="240" width="5" bestFit="1" customWidth="1"/>
    <col min="241" max="283" width="6" bestFit="1" customWidth="1"/>
    <col min="284" max="284" width="5" bestFit="1" customWidth="1"/>
    <col min="285" max="292" width="6" bestFit="1" customWidth="1"/>
    <col min="293" max="293" width="5" bestFit="1" customWidth="1"/>
    <col min="294" max="299" width="6" bestFit="1" customWidth="1"/>
    <col min="300" max="300" width="5" bestFit="1" customWidth="1"/>
    <col min="301" max="305" width="6" bestFit="1" customWidth="1"/>
    <col min="306" max="306" width="5" bestFit="1" customWidth="1"/>
    <col min="307" max="320" width="6" bestFit="1" customWidth="1"/>
    <col min="321" max="322" width="5" bestFit="1" customWidth="1"/>
    <col min="323" max="333" width="6" bestFit="1" customWidth="1"/>
    <col min="334" max="334" width="5" bestFit="1" customWidth="1"/>
    <col min="335" max="340" width="6" bestFit="1" customWidth="1"/>
    <col min="341" max="341" width="4" bestFit="1" customWidth="1"/>
    <col min="342" max="342" width="6" bestFit="1" customWidth="1"/>
    <col min="343" max="343" width="5" bestFit="1" customWidth="1"/>
    <col min="344" max="352" width="6" bestFit="1" customWidth="1"/>
    <col min="353" max="353" width="5" bestFit="1" customWidth="1"/>
    <col min="354" max="356" width="6" bestFit="1" customWidth="1"/>
    <col min="357" max="357" width="4" bestFit="1" customWidth="1"/>
    <col min="358" max="364" width="6" bestFit="1" customWidth="1"/>
    <col min="365" max="365" width="5" bestFit="1" customWidth="1"/>
    <col min="366" max="366" width="6" bestFit="1" customWidth="1"/>
    <col min="367" max="367" width="5" bestFit="1" customWidth="1"/>
    <col min="368" max="370" width="6" bestFit="1" customWidth="1"/>
    <col min="371" max="371" width="5" bestFit="1" customWidth="1"/>
    <col min="372" max="373" width="6" bestFit="1" customWidth="1"/>
    <col min="374" max="374" width="5" bestFit="1" customWidth="1"/>
    <col min="375" max="379" width="6" bestFit="1" customWidth="1"/>
    <col min="380" max="380" width="5" bestFit="1" customWidth="1"/>
    <col min="381" max="387" width="6" bestFit="1" customWidth="1"/>
    <col min="388" max="388" width="4" bestFit="1" customWidth="1"/>
    <col min="389" max="391" width="6" bestFit="1" customWidth="1"/>
    <col min="392" max="403" width="7" bestFit="1" customWidth="1"/>
    <col min="404" max="404" width="6" bestFit="1" customWidth="1"/>
    <col min="405" max="419" width="7" bestFit="1" customWidth="1"/>
    <col min="420" max="420" width="6" bestFit="1" customWidth="1"/>
    <col min="421" max="435" width="7" bestFit="1" customWidth="1"/>
    <col min="436" max="436" width="6" bestFit="1" customWidth="1"/>
    <col min="437" max="438" width="7" bestFit="1" customWidth="1"/>
    <col min="439" max="439" width="6" bestFit="1" customWidth="1"/>
    <col min="440" max="444" width="7" bestFit="1" customWidth="1"/>
    <col min="445" max="445" width="6" bestFit="1" customWidth="1"/>
    <col min="446" max="447" width="7" bestFit="1" customWidth="1"/>
    <col min="448" max="448" width="11.28515625" bestFit="1" customWidth="1"/>
    <col min="449" max="458" width="16.28515625" bestFit="1" customWidth="1"/>
    <col min="459" max="459" width="11.28515625" bestFit="1" customWidth="1"/>
  </cols>
  <sheetData>
    <row r="3" spans="1:7" x14ac:dyDescent="0.25">
      <c r="A3" t="s">
        <v>0</v>
      </c>
      <c r="B3" t="s">
        <v>16</v>
      </c>
      <c r="C3" t="s">
        <v>2</v>
      </c>
      <c r="D3" t="s">
        <v>1</v>
      </c>
      <c r="E3" t="s">
        <v>20</v>
      </c>
      <c r="F3" t="s">
        <v>17</v>
      </c>
      <c r="G3" t="s">
        <v>18</v>
      </c>
    </row>
    <row r="4" spans="1:7" x14ac:dyDescent="0.25">
      <c r="A4" s="6">
        <v>83797190</v>
      </c>
      <c r="B4" s="6">
        <v>1979533215</v>
      </c>
      <c r="C4" s="1">
        <v>6.7427374999999984E-2</v>
      </c>
      <c r="D4" s="1">
        <v>5.9516874999999969E-2</v>
      </c>
      <c r="E4" s="1">
        <v>1.02475625E-2</v>
      </c>
      <c r="F4" s="1">
        <v>0.97722299313516903</v>
      </c>
      <c r="G4" s="8">
        <v>0.25060268749999998</v>
      </c>
    </row>
    <row r="8" spans="1:7" x14ac:dyDescent="0.25">
      <c r="A8" s="2" t="s">
        <v>14</v>
      </c>
      <c r="B8" t="s">
        <v>13</v>
      </c>
    </row>
    <row r="9" spans="1:7" x14ac:dyDescent="0.25">
      <c r="A9" t="s">
        <v>3</v>
      </c>
      <c r="B9" s="6">
        <v>49257606</v>
      </c>
    </row>
    <row r="10" spans="1:7" x14ac:dyDescent="0.25">
      <c r="A10" t="s">
        <v>10</v>
      </c>
      <c r="B10" s="6">
        <v>15253112</v>
      </c>
    </row>
    <row r="11" spans="1:7" x14ac:dyDescent="0.25">
      <c r="A11" t="s">
        <v>4</v>
      </c>
      <c r="B11" s="6">
        <v>9453653</v>
      </c>
    </row>
    <row r="12" spans="1:7" x14ac:dyDescent="0.25">
      <c r="A12" t="s">
        <v>8</v>
      </c>
      <c r="B12" s="6">
        <v>8073452</v>
      </c>
    </row>
    <row r="13" spans="1:7" x14ac:dyDescent="0.25">
      <c r="A13" t="s">
        <v>5</v>
      </c>
      <c r="B13" s="6">
        <v>1404634</v>
      </c>
    </row>
    <row r="14" spans="1:7" x14ac:dyDescent="0.25">
      <c r="A14" t="s">
        <v>11</v>
      </c>
      <c r="B14" s="6">
        <v>168240</v>
      </c>
    </row>
    <row r="15" spans="1:7" x14ac:dyDescent="0.25">
      <c r="A15" t="s">
        <v>6</v>
      </c>
      <c r="B15" s="6">
        <v>103620</v>
      </c>
    </row>
    <row r="16" spans="1:7" x14ac:dyDescent="0.25">
      <c r="A16" t="s">
        <v>9</v>
      </c>
      <c r="B16" s="6">
        <v>40256</v>
      </c>
    </row>
    <row r="17" spans="1:7" x14ac:dyDescent="0.25">
      <c r="A17" t="s">
        <v>12</v>
      </c>
      <c r="B17" s="6">
        <v>22409</v>
      </c>
    </row>
    <row r="18" spans="1:7" x14ac:dyDescent="0.25">
      <c r="A18" t="s">
        <v>7</v>
      </c>
      <c r="B18" s="6">
        <v>20208</v>
      </c>
    </row>
    <row r="21" spans="1:7" x14ac:dyDescent="0.25">
      <c r="A21" s="2" t="s">
        <v>14</v>
      </c>
      <c r="B21" t="s">
        <v>13</v>
      </c>
      <c r="C21" t="s">
        <v>21</v>
      </c>
      <c r="D21" t="s">
        <v>19</v>
      </c>
    </row>
    <row r="22" spans="1:7" x14ac:dyDescent="0.25">
      <c r="A22" t="s">
        <v>3</v>
      </c>
      <c r="B22" s="6">
        <v>49257606</v>
      </c>
      <c r="C22" s="6">
        <v>49337339</v>
      </c>
      <c r="D22" s="6">
        <v>108963026</v>
      </c>
    </row>
    <row r="23" spans="1:7" x14ac:dyDescent="0.25">
      <c r="A23" t="s">
        <v>10</v>
      </c>
      <c r="B23" s="6">
        <v>15253112</v>
      </c>
      <c r="C23" s="6">
        <v>15476598</v>
      </c>
      <c r="D23" s="6">
        <v>107153721</v>
      </c>
      <c r="G23" s="7">
        <v>8</v>
      </c>
    </row>
    <row r="24" spans="1:7" x14ac:dyDescent="0.25">
      <c r="A24" t="s">
        <v>4</v>
      </c>
      <c r="B24" s="6">
        <v>9453653</v>
      </c>
      <c r="C24" s="6">
        <v>10037249</v>
      </c>
      <c r="D24" s="6">
        <v>132743106</v>
      </c>
      <c r="F24" s="3"/>
      <c r="G24" s="3"/>
    </row>
    <row r="25" spans="1:7" x14ac:dyDescent="0.25">
      <c r="A25" t="s">
        <v>8</v>
      </c>
      <c r="B25" s="6">
        <v>8073452</v>
      </c>
      <c r="C25" s="6">
        <v>11074532</v>
      </c>
      <c r="D25" s="6">
        <v>324734058</v>
      </c>
      <c r="F25" s="3"/>
      <c r="G25" s="3"/>
    </row>
    <row r="26" spans="1:7" x14ac:dyDescent="0.25">
      <c r="A26" t="s">
        <v>5</v>
      </c>
      <c r="B26" s="6">
        <v>1404634</v>
      </c>
      <c r="C26" s="6">
        <v>5859923</v>
      </c>
      <c r="D26" s="6">
        <v>274898127</v>
      </c>
      <c r="F26" s="3"/>
      <c r="G26" s="3"/>
    </row>
    <row r="27" spans="1:7" x14ac:dyDescent="0.25">
      <c r="A27" t="s">
        <v>11</v>
      </c>
      <c r="B27" s="6">
        <v>168240</v>
      </c>
      <c r="C27" s="6">
        <v>2094538</v>
      </c>
      <c r="D27" s="6">
        <v>105468431</v>
      </c>
      <c r="F27" s="3"/>
      <c r="G27" s="3"/>
    </row>
    <row r="28" spans="1:7" x14ac:dyDescent="0.25">
      <c r="A28" t="s">
        <v>6</v>
      </c>
      <c r="B28" s="6">
        <v>103620</v>
      </c>
      <c r="C28" s="6">
        <v>2558075</v>
      </c>
      <c r="D28" s="6">
        <v>140566838</v>
      </c>
      <c r="F28" s="3"/>
      <c r="G28" s="3"/>
    </row>
    <row r="29" spans="1:7" x14ac:dyDescent="0.25">
      <c r="A29" t="s">
        <v>9</v>
      </c>
      <c r="B29" s="6">
        <v>40256</v>
      </c>
      <c r="C29" s="6">
        <v>2134770</v>
      </c>
      <c r="D29" s="6">
        <v>110104157</v>
      </c>
      <c r="F29" s="3"/>
      <c r="G29" s="3"/>
    </row>
    <row r="30" spans="1:7" x14ac:dyDescent="0.25">
      <c r="A30" t="s">
        <v>12</v>
      </c>
      <c r="B30" s="6">
        <v>22409</v>
      </c>
      <c r="C30" s="6">
        <v>2112774</v>
      </c>
      <c r="D30" s="6">
        <v>113635463</v>
      </c>
      <c r="F30" s="3"/>
      <c r="G30" s="3"/>
    </row>
    <row r="31" spans="1:7" x14ac:dyDescent="0.25">
      <c r="A31" t="s">
        <v>7</v>
      </c>
      <c r="B31" s="6">
        <v>20208</v>
      </c>
      <c r="C31" s="6">
        <v>11191776</v>
      </c>
      <c r="D31" s="6">
        <v>561266288</v>
      </c>
      <c r="F31" s="3"/>
      <c r="G31" s="3"/>
    </row>
    <row r="32" spans="1:7" x14ac:dyDescent="0.25">
      <c r="F32" s="3"/>
      <c r="G32" s="3"/>
    </row>
    <row r="33" spans="1:7" x14ac:dyDescent="0.25">
      <c r="F33" s="3"/>
      <c r="G33" s="3"/>
    </row>
    <row r="34" spans="1:7" x14ac:dyDescent="0.25">
      <c r="A34" s="9" t="s">
        <v>15</v>
      </c>
      <c r="B34" s="10">
        <v>1</v>
      </c>
      <c r="C34" s="6"/>
      <c r="D34" s="6"/>
      <c r="F34" s="3"/>
      <c r="G34" s="3"/>
    </row>
    <row r="35" spans="1:7" x14ac:dyDescent="0.25">
      <c r="B35" s="6"/>
      <c r="D35" s="6"/>
      <c r="F35" s="3"/>
      <c r="G35" s="3"/>
    </row>
    <row r="36" spans="1:7" x14ac:dyDescent="0.25">
      <c r="A36" t="str">
        <f>A21</f>
        <v>FirmSize</v>
      </c>
      <c r="B36" t="str" cm="1">
        <f t="array" ref="B36">_xlfn.IFS($B$34=1,B21,$B$34=2,C21,$B$34=3,D21)</f>
        <v>Sum of firms</v>
      </c>
      <c r="F36" s="3"/>
      <c r="G36" s="3"/>
    </row>
    <row r="37" spans="1:7" x14ac:dyDescent="0.25">
      <c r="A37" t="str">
        <f t="shared" ref="A37:A46" si="0">A22</f>
        <v>1 to 4</v>
      </c>
      <c r="B37" s="6" cm="1">
        <f t="array" ref="B37">_xlfn.IFS($B$34=1,B22,$B$34=2,C22,$B$34=3,D22)</f>
        <v>49257606</v>
      </c>
      <c r="F37" s="3"/>
      <c r="G37" s="3"/>
    </row>
    <row r="38" spans="1:7" x14ac:dyDescent="0.25">
      <c r="A38" t="str">
        <f t="shared" si="0"/>
        <v>5 to 9</v>
      </c>
      <c r="B38" s="6" cm="1">
        <f t="array" ref="B38">_xlfn.IFS($B$34=1,B23,$B$34=2,C23,$B$34=3,D23)</f>
        <v>15253112</v>
      </c>
      <c r="F38" s="3"/>
      <c r="G38" s="3"/>
    </row>
    <row r="39" spans="1:7" x14ac:dyDescent="0.25">
      <c r="A39" t="str">
        <f t="shared" si="0"/>
        <v>10 to 19</v>
      </c>
      <c r="B39" s="6" cm="1">
        <f t="array" ref="B39">_xlfn.IFS($B$34=1,B24,$B$34=2,C24,$B$34=3,D24)</f>
        <v>9453653</v>
      </c>
      <c r="F39" s="3"/>
      <c r="G39" s="3"/>
    </row>
    <row r="40" spans="1:7" x14ac:dyDescent="0.25">
      <c r="A40" t="str">
        <f t="shared" si="0"/>
        <v>20 to 99</v>
      </c>
      <c r="B40" s="6" cm="1">
        <f t="array" ref="B40">_xlfn.IFS($B$34=1,B25,$B$34=2,C25,$B$34=3,D25)</f>
        <v>8073452</v>
      </c>
      <c r="F40" s="3"/>
      <c r="G40" s="3"/>
    </row>
    <row r="41" spans="1:7" x14ac:dyDescent="0.25">
      <c r="A41" t="str">
        <f t="shared" si="0"/>
        <v>100 to 499</v>
      </c>
      <c r="B41" s="6" cm="1">
        <f t="array" ref="B41">_xlfn.IFS($B$34=1,B26,$B$34=2,C26,$B$34=3,D26)</f>
        <v>1404634</v>
      </c>
      <c r="F41" s="3"/>
      <c r="G41" s="3"/>
    </row>
    <row r="42" spans="1:7" x14ac:dyDescent="0.25">
      <c r="A42" t="str">
        <f t="shared" si="0"/>
        <v>500 to 999</v>
      </c>
      <c r="B42" s="6" cm="1">
        <f t="array" ref="B42">_xlfn.IFS($B$34=1,B27,$B$34=2,C27,$B$34=3,D27)</f>
        <v>168240</v>
      </c>
      <c r="F42" s="3"/>
      <c r="G42" s="3"/>
    </row>
    <row r="43" spans="1:7" x14ac:dyDescent="0.25">
      <c r="A43" t="str">
        <f t="shared" si="0"/>
        <v>1000 to 2499</v>
      </c>
      <c r="B43" s="6" cm="1">
        <f t="array" ref="B43">_xlfn.IFS($B$34=1,B28,$B$34=2,C28,$B$34=3,D28)</f>
        <v>103620</v>
      </c>
      <c r="F43" s="3"/>
      <c r="G43" s="3"/>
    </row>
    <row r="44" spans="1:7" x14ac:dyDescent="0.25">
      <c r="A44" t="str">
        <f t="shared" si="0"/>
        <v>2500 to 4999</v>
      </c>
      <c r="B44" s="6" cm="1">
        <f t="array" ref="B44">_xlfn.IFS($B$34=1,B29,$B$34=2,C29,$B$34=3,D29)</f>
        <v>40256</v>
      </c>
      <c r="F44" s="3"/>
      <c r="G44" s="3"/>
    </row>
    <row r="45" spans="1:7" x14ac:dyDescent="0.25">
      <c r="A45" t="str">
        <f t="shared" si="0"/>
        <v>5000 to 9999</v>
      </c>
      <c r="B45" s="6" cm="1">
        <f t="array" ref="B45">_xlfn.IFS($B$34=1,B30,$B$34=2,C30,$B$34=3,D30)</f>
        <v>22409</v>
      </c>
      <c r="F45" s="3"/>
      <c r="G45" s="3"/>
    </row>
    <row r="46" spans="1:7" x14ac:dyDescent="0.25">
      <c r="A46" t="str">
        <f t="shared" si="0"/>
        <v>10000+</v>
      </c>
      <c r="B46" s="6" cm="1">
        <f t="array" ref="B46">_xlfn.IFS($B$34=1,B31,$B$34=2,C31,$B$34=3,D31)</f>
        <v>20208</v>
      </c>
      <c r="F46" s="3"/>
      <c r="G46" s="3"/>
    </row>
    <row r="47" spans="1:7" x14ac:dyDescent="0.25">
      <c r="F47" s="3"/>
      <c r="G47" s="3"/>
    </row>
    <row r="48" spans="1:7" x14ac:dyDescent="0.25">
      <c r="F48" s="3"/>
      <c r="G48" s="3"/>
    </row>
    <row r="49" spans="1:7" x14ac:dyDescent="0.25">
      <c r="A49" s="2" t="s">
        <v>14</v>
      </c>
      <c r="B49" t="s">
        <v>22</v>
      </c>
      <c r="C49" t="s">
        <v>23</v>
      </c>
      <c r="F49" s="3"/>
      <c r="G49" s="3"/>
    </row>
    <row r="50" spans="1:7" x14ac:dyDescent="0.25">
      <c r="A50" t="s">
        <v>3</v>
      </c>
      <c r="B50" s="1">
        <v>0.167778125</v>
      </c>
      <c r="C50" s="1">
        <v>0.16116750000000002</v>
      </c>
      <c r="F50" s="3"/>
      <c r="G50" s="3"/>
    </row>
    <row r="51" spans="1:7" x14ac:dyDescent="0.25">
      <c r="A51" t="s">
        <v>10</v>
      </c>
      <c r="B51" s="1">
        <v>3.6190624999999997E-2</v>
      </c>
      <c r="C51" s="1">
        <v>3.5037499999999999E-2</v>
      </c>
      <c r="F51" s="3"/>
      <c r="G51" s="3"/>
    </row>
    <row r="52" spans="1:7" x14ac:dyDescent="0.25">
      <c r="A52" t="s">
        <v>4</v>
      </c>
      <c r="B52" s="1">
        <v>3.0066874999999993E-2</v>
      </c>
      <c r="C52" s="1">
        <v>2.851625E-2</v>
      </c>
      <c r="F52" s="3"/>
      <c r="G52" s="3"/>
    </row>
    <row r="53" spans="1:7" x14ac:dyDescent="0.25">
      <c r="A53" t="s">
        <v>8</v>
      </c>
      <c r="B53" s="1">
        <v>3.5050624999999995E-2</v>
      </c>
      <c r="C53" s="1">
        <v>2.8038750000000001E-2</v>
      </c>
      <c r="F53" s="3"/>
      <c r="G53" s="3"/>
    </row>
    <row r="54" spans="1:7" x14ac:dyDescent="0.25">
      <c r="A54" t="s">
        <v>5</v>
      </c>
      <c r="B54" s="1">
        <v>5.4476874999999994E-2</v>
      </c>
      <c r="C54" s="1">
        <v>3.9218750000000004E-2</v>
      </c>
      <c r="F54" s="3"/>
      <c r="G54" s="3"/>
    </row>
    <row r="55" spans="1:7" x14ac:dyDescent="0.25">
      <c r="A55" t="s">
        <v>11</v>
      </c>
      <c r="B55" s="1">
        <v>6.3363124999999992E-2</v>
      </c>
      <c r="C55" s="1">
        <v>4.7923749999999994E-2</v>
      </c>
      <c r="F55" s="3"/>
      <c r="G55" s="3"/>
    </row>
    <row r="56" spans="1:7" x14ac:dyDescent="0.25">
      <c r="A56" t="s">
        <v>6</v>
      </c>
      <c r="B56" s="1">
        <v>7.2553124999999996E-2</v>
      </c>
      <c r="C56" s="1">
        <v>5.7895624999999999E-2</v>
      </c>
      <c r="F56" s="3"/>
      <c r="G56" s="3"/>
    </row>
    <row r="57" spans="1:7" x14ac:dyDescent="0.25">
      <c r="A57" t="s">
        <v>9</v>
      </c>
      <c r="B57" s="1">
        <v>6.7091875000000009E-2</v>
      </c>
      <c r="C57" s="1">
        <v>6.0503124999999998E-2</v>
      </c>
      <c r="F57" s="3"/>
      <c r="G57" s="3"/>
    </row>
    <row r="58" spans="1:7" x14ac:dyDescent="0.25">
      <c r="A58" t="s">
        <v>12</v>
      </c>
      <c r="B58" s="1">
        <v>8.1176874999999996E-2</v>
      </c>
      <c r="C58" s="1">
        <v>6.2355624999999998E-2</v>
      </c>
      <c r="F58" s="3"/>
      <c r="G58" s="3"/>
    </row>
    <row r="59" spans="1:7" x14ac:dyDescent="0.25">
      <c r="A59" t="s">
        <v>7</v>
      </c>
      <c r="B59" s="1">
        <v>6.6525625000000005E-2</v>
      </c>
      <c r="C59" s="1">
        <v>7.4511875000000005E-2</v>
      </c>
      <c r="F59" s="3"/>
      <c r="G59" s="3"/>
    </row>
    <row r="60" spans="1:7" x14ac:dyDescent="0.25">
      <c r="F60" s="3"/>
      <c r="G60" s="3"/>
    </row>
    <row r="61" spans="1:7" x14ac:dyDescent="0.25">
      <c r="A61" s="2" t="s">
        <v>14</v>
      </c>
      <c r="B61" t="s">
        <v>24</v>
      </c>
      <c r="C61" t="s">
        <v>25</v>
      </c>
      <c r="F61" s="3"/>
      <c r="G61" s="3"/>
    </row>
    <row r="62" spans="1:7" x14ac:dyDescent="0.25">
      <c r="A62" t="s">
        <v>3</v>
      </c>
      <c r="B62" s="6">
        <v>29788273</v>
      </c>
      <c r="C62" s="6">
        <v>29063419</v>
      </c>
      <c r="F62" s="3"/>
      <c r="G62" s="3"/>
    </row>
    <row r="63" spans="1:7" x14ac:dyDescent="0.25">
      <c r="A63" t="s">
        <v>10</v>
      </c>
      <c r="B63" s="6">
        <v>18988140</v>
      </c>
      <c r="C63" s="6">
        <v>18349296</v>
      </c>
      <c r="F63" s="3"/>
      <c r="G63" s="3"/>
    </row>
    <row r="64" spans="1:7" x14ac:dyDescent="0.25">
      <c r="A64" t="s">
        <v>4</v>
      </c>
      <c r="B64" s="6">
        <v>20143447</v>
      </c>
      <c r="C64" s="6">
        <v>18911369</v>
      </c>
      <c r="F64" s="3"/>
      <c r="G64" s="3"/>
    </row>
    <row r="65" spans="1:7" x14ac:dyDescent="0.25">
      <c r="A65" t="s">
        <v>8</v>
      </c>
      <c r="B65" s="6">
        <v>42359205</v>
      </c>
      <c r="C65" s="6">
        <v>38136954</v>
      </c>
      <c r="F65" s="3"/>
      <c r="G65" s="3"/>
    </row>
    <row r="66" spans="1:7" x14ac:dyDescent="0.25">
      <c r="A66" t="s">
        <v>5</v>
      </c>
      <c r="B66" s="6">
        <v>33465329</v>
      </c>
      <c r="C66" s="6">
        <v>28899846</v>
      </c>
      <c r="F66" s="3"/>
      <c r="G66" s="3"/>
    </row>
    <row r="67" spans="1:7" x14ac:dyDescent="0.25">
      <c r="A67" t="s">
        <v>11</v>
      </c>
      <c r="B67" s="6">
        <v>13154434</v>
      </c>
      <c r="C67" s="6">
        <v>11410771</v>
      </c>
      <c r="F67" s="3"/>
      <c r="G67" s="3"/>
    </row>
    <row r="68" spans="1:7" x14ac:dyDescent="0.25">
      <c r="A68" t="s">
        <v>6</v>
      </c>
      <c r="B68" s="6">
        <v>16490307</v>
      </c>
      <c r="C68" s="6">
        <v>14544907</v>
      </c>
      <c r="F68" s="3"/>
      <c r="G68" s="3"/>
    </row>
    <row r="69" spans="1:7" x14ac:dyDescent="0.25">
      <c r="A69" t="s">
        <v>9</v>
      </c>
      <c r="B69" s="6">
        <v>12457689</v>
      </c>
      <c r="C69" s="6">
        <v>11285711</v>
      </c>
      <c r="F69" s="3"/>
      <c r="G69" s="3"/>
    </row>
    <row r="70" spans="1:7" x14ac:dyDescent="0.25">
      <c r="A70" t="s">
        <v>12</v>
      </c>
      <c r="B70" s="6">
        <v>13020674</v>
      </c>
      <c r="C70" s="6">
        <v>11747876</v>
      </c>
    </row>
    <row r="71" spans="1:7" x14ac:dyDescent="0.25">
      <c r="A71" t="s">
        <v>7</v>
      </c>
      <c r="B71" s="6">
        <v>58164432</v>
      </c>
      <c r="C71" s="6">
        <v>57827113</v>
      </c>
    </row>
    <row r="74" spans="1:7" x14ac:dyDescent="0.25">
      <c r="A74" s="4" t="s">
        <v>26</v>
      </c>
      <c r="B74" s="10" t="b">
        <v>1</v>
      </c>
      <c r="C74" s="4" t="b">
        <v>0</v>
      </c>
    </row>
    <row r="77" spans="1:7" x14ac:dyDescent="0.25">
      <c r="A77" t="str">
        <f>A61</f>
        <v>FirmSize</v>
      </c>
      <c r="B77" t="str" cm="1">
        <f t="array" ref="B77">_xlfn.IFS($B$74=TRUE,B61,$B$74=FALSE," ")</f>
        <v>Sum of job_creation</v>
      </c>
      <c r="C77" t="str" cm="1">
        <f t="array" ref="C77">_xlfn.IFS($C$74=TRUE,C61,$C$74=FALSE," ")</f>
        <v xml:space="preserve"> </v>
      </c>
    </row>
    <row r="78" spans="1:7" x14ac:dyDescent="0.25">
      <c r="A78" t="str">
        <f t="shared" ref="A78:A87" si="1">A62</f>
        <v>1 to 4</v>
      </c>
      <c r="B78" s="6" cm="1">
        <f t="array" ref="B78">_xlfn.IFS($B$74=TRUE,B62,$B$74=FALSE," ")</f>
        <v>29788273</v>
      </c>
      <c r="C78" s="6" t="str" cm="1">
        <f t="array" ref="C78">_xlfn.IFS($C$74=TRUE,C62,$C$74=FALSE," ")</f>
        <v xml:space="preserve"> </v>
      </c>
    </row>
    <row r="79" spans="1:7" x14ac:dyDescent="0.25">
      <c r="A79" t="str">
        <f t="shared" si="1"/>
        <v>5 to 9</v>
      </c>
      <c r="B79" s="6" cm="1">
        <f t="array" ref="B79">_xlfn.IFS($B$74=TRUE,B63,$B$74=FALSE," ")</f>
        <v>18988140</v>
      </c>
      <c r="C79" s="6" t="str" cm="1">
        <f t="array" ref="C79">_xlfn.IFS($C$74=TRUE,C63,$C$74=FALSE," ")</f>
        <v xml:space="preserve"> </v>
      </c>
    </row>
    <row r="80" spans="1:7" x14ac:dyDescent="0.25">
      <c r="A80" t="str">
        <f t="shared" si="1"/>
        <v>10 to 19</v>
      </c>
      <c r="B80" s="6" cm="1">
        <f t="array" ref="B80">_xlfn.IFS($B$74=TRUE,B64,$B$74=FALSE," ")</f>
        <v>20143447</v>
      </c>
      <c r="C80" s="6" t="str" cm="1">
        <f t="array" ref="C80">_xlfn.IFS($C$74=TRUE,C64,$C$74=FALSE," ")</f>
        <v xml:space="preserve"> </v>
      </c>
    </row>
    <row r="81" spans="1:3" x14ac:dyDescent="0.25">
      <c r="A81" t="str">
        <f t="shared" si="1"/>
        <v>20 to 99</v>
      </c>
      <c r="B81" s="6" cm="1">
        <f t="array" ref="B81">_xlfn.IFS($B$74=TRUE,B65,$B$74=FALSE," ")</f>
        <v>42359205</v>
      </c>
      <c r="C81" s="6" t="str" cm="1">
        <f t="array" ref="C81">_xlfn.IFS($C$74=TRUE,C65,$C$74=FALSE," ")</f>
        <v xml:space="preserve"> </v>
      </c>
    </row>
    <row r="82" spans="1:3" x14ac:dyDescent="0.25">
      <c r="A82" t="str">
        <f t="shared" si="1"/>
        <v>100 to 499</v>
      </c>
      <c r="B82" s="6" cm="1">
        <f t="array" ref="B82">_xlfn.IFS($B$74=TRUE,B66,$B$74=FALSE," ")</f>
        <v>33465329</v>
      </c>
      <c r="C82" s="6" t="str" cm="1">
        <f t="array" ref="C82">_xlfn.IFS($C$74=TRUE,C66,$C$74=FALSE," ")</f>
        <v xml:space="preserve"> </v>
      </c>
    </row>
    <row r="83" spans="1:3" x14ac:dyDescent="0.25">
      <c r="A83" t="str">
        <f t="shared" si="1"/>
        <v>500 to 999</v>
      </c>
      <c r="B83" s="6" cm="1">
        <f t="array" ref="B83">_xlfn.IFS($B$74=TRUE,B67,$B$74=FALSE," ")</f>
        <v>13154434</v>
      </c>
      <c r="C83" s="6" t="str" cm="1">
        <f t="array" ref="C83">_xlfn.IFS($C$74=TRUE,C67,$C$74=FALSE," ")</f>
        <v xml:space="preserve"> </v>
      </c>
    </row>
    <row r="84" spans="1:3" x14ac:dyDescent="0.25">
      <c r="A84" t="str">
        <f t="shared" si="1"/>
        <v>1000 to 2499</v>
      </c>
      <c r="B84" s="6" cm="1">
        <f t="array" ref="B84">_xlfn.IFS($B$74=TRUE,B68,$B$74=FALSE," ")</f>
        <v>16490307</v>
      </c>
      <c r="C84" s="6" t="str" cm="1">
        <f t="array" ref="C84">_xlfn.IFS($C$74=TRUE,C68,$C$74=FALSE," ")</f>
        <v xml:space="preserve"> </v>
      </c>
    </row>
    <row r="85" spans="1:3" x14ac:dyDescent="0.25">
      <c r="A85" t="str">
        <f t="shared" si="1"/>
        <v>2500 to 4999</v>
      </c>
      <c r="B85" s="6" cm="1">
        <f t="array" ref="B85">_xlfn.IFS($B$74=TRUE,B69,$B$74=FALSE," ")</f>
        <v>12457689</v>
      </c>
      <c r="C85" s="6" t="str" cm="1">
        <f t="array" ref="C85">_xlfn.IFS($C$74=TRUE,C69,$C$74=FALSE," ")</f>
        <v xml:space="preserve"> </v>
      </c>
    </row>
    <row r="86" spans="1:3" x14ac:dyDescent="0.25">
      <c r="A86" t="str">
        <f t="shared" si="1"/>
        <v>5000 to 9999</v>
      </c>
      <c r="B86" s="6" cm="1">
        <f t="array" ref="B86">_xlfn.IFS($B$74=TRUE,B70,$B$74=FALSE," ")</f>
        <v>13020674</v>
      </c>
      <c r="C86" s="6" t="str" cm="1">
        <f t="array" ref="C86">_xlfn.IFS($C$74=TRUE,C70,$C$74=FALSE," ")</f>
        <v xml:space="preserve"> </v>
      </c>
    </row>
    <row r="87" spans="1:3" x14ac:dyDescent="0.25">
      <c r="A87" t="str">
        <f t="shared" si="1"/>
        <v>10000+</v>
      </c>
      <c r="B87" s="6" cm="1">
        <f t="array" ref="B87">_xlfn.IFS($B$74=TRUE,B71,$B$74=FALSE," ")</f>
        <v>58164432</v>
      </c>
      <c r="C87" s="6" t="str" cm="1">
        <f t="array" ref="C87">_xlfn.IFS($C$74=TRUE,C71,$C$74=FALSE," ")</f>
        <v xml:space="preserve"> </v>
      </c>
    </row>
    <row r="90" spans="1:3" x14ac:dyDescent="0.25">
      <c r="A90" s="2" t="s">
        <v>14</v>
      </c>
      <c r="B90" t="s">
        <v>27</v>
      </c>
    </row>
    <row r="91" spans="1:3" x14ac:dyDescent="0.25">
      <c r="A91" t="s">
        <v>3</v>
      </c>
      <c r="B91" s="8">
        <v>0.12249580420006745</v>
      </c>
    </row>
    <row r="92" spans="1:3" x14ac:dyDescent="0.25">
      <c r="A92" t="s">
        <v>10</v>
      </c>
      <c r="B92" s="8">
        <v>2.8301066145246308E-2</v>
      </c>
    </row>
    <row r="93" spans="1:3" x14ac:dyDescent="0.25">
      <c r="A93" t="s">
        <v>4</v>
      </c>
      <c r="B93" s="8">
        <v>2.0784284995498364E-2</v>
      </c>
    </row>
    <row r="94" spans="1:3" x14ac:dyDescent="0.25">
      <c r="A94" t="s">
        <v>8</v>
      </c>
      <c r="B94" s="8">
        <v>1.3943726623624988E-2</v>
      </c>
    </row>
    <row r="95" spans="1:3" x14ac:dyDescent="0.25">
      <c r="A95" t="s">
        <v>5</v>
      </c>
      <c r="B95" s="8">
        <v>6.7079693490463208E-3</v>
      </c>
    </row>
    <row r="96" spans="1:3" x14ac:dyDescent="0.25">
      <c r="A96" t="s">
        <v>11</v>
      </c>
      <c r="B96" s="8">
        <v>2.7572533156925774E-3</v>
      </c>
    </row>
    <row r="97" spans="1:2" x14ac:dyDescent="0.25">
      <c r="A97" t="s">
        <v>6</v>
      </c>
      <c r="B97" s="8">
        <v>1.9694696330354242E-3</v>
      </c>
    </row>
    <row r="98" spans="1:2" x14ac:dyDescent="0.25">
      <c r="A98" t="s">
        <v>9</v>
      </c>
      <c r="B98" s="8">
        <v>1.6620249663163048E-3</v>
      </c>
    </row>
    <row r="99" spans="1:2" x14ac:dyDescent="0.25">
      <c r="A99" t="s">
        <v>12</v>
      </c>
      <c r="B99" s="8">
        <v>3.3517680576503989E-4</v>
      </c>
    </row>
    <row r="100" spans="1:2" x14ac:dyDescent="0.25">
      <c r="A100" t="s">
        <v>7</v>
      </c>
      <c r="B100" s="8">
        <v>0</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0E8DB-C55D-4133-8D0F-8F185F5E48D2}">
  <dimension ref="A1:Z461"/>
  <sheetViews>
    <sheetView tabSelected="1" workbookViewId="0">
      <selection activeCell="H9" sqref="H9"/>
    </sheetView>
  </sheetViews>
  <sheetFormatPr defaultRowHeight="15" x14ac:dyDescent="0.25"/>
  <sheetData>
    <row r="1" spans="1:26" x14ac:dyDescent="0.25">
      <c r="A1" t="s">
        <v>28</v>
      </c>
      <c r="B1" t="s">
        <v>29</v>
      </c>
      <c r="C1" t="s">
        <v>30</v>
      </c>
      <c r="D1" t="s">
        <v>31</v>
      </c>
      <c r="E1" t="s">
        <v>32</v>
      </c>
      <c r="F1" t="s">
        <v>33</v>
      </c>
      <c r="G1" t="s">
        <v>34</v>
      </c>
      <c r="H1" t="s">
        <v>35</v>
      </c>
      <c r="I1" t="s">
        <v>36</v>
      </c>
      <c r="J1" t="s">
        <v>37</v>
      </c>
      <c r="K1" t="s">
        <v>38</v>
      </c>
      <c r="L1" t="s">
        <v>39</v>
      </c>
      <c r="M1" t="s">
        <v>40</v>
      </c>
      <c r="N1" t="s">
        <v>41</v>
      </c>
      <c r="O1" t="s">
        <v>42</v>
      </c>
      <c r="P1" t="s">
        <v>43</v>
      </c>
      <c r="Q1" t="s">
        <v>44</v>
      </c>
      <c r="R1" t="s">
        <v>45</v>
      </c>
      <c r="S1" t="s">
        <v>46</v>
      </c>
      <c r="T1" t="s">
        <v>47</v>
      </c>
      <c r="U1" t="s">
        <v>48</v>
      </c>
      <c r="V1" t="s">
        <v>49</v>
      </c>
      <c r="W1" t="s">
        <v>50</v>
      </c>
      <c r="X1" t="s">
        <v>51</v>
      </c>
      <c r="Y1" t="s">
        <v>52</v>
      </c>
      <c r="Z1" t="s">
        <v>53</v>
      </c>
    </row>
    <row r="2" spans="1:26" x14ac:dyDescent="0.25">
      <c r="A2">
        <v>1978</v>
      </c>
      <c r="B2" t="s">
        <v>54</v>
      </c>
      <c r="C2">
        <v>2162791</v>
      </c>
      <c r="D2">
        <v>2171610</v>
      </c>
      <c r="E2">
        <v>5303829</v>
      </c>
      <c r="F2">
        <v>4959755</v>
      </c>
      <c r="G2">
        <v>492222</v>
      </c>
      <c r="H2">
        <v>23.361999999999998</v>
      </c>
      <c r="I2">
        <v>362901</v>
      </c>
      <c r="J2">
        <v>17.224</v>
      </c>
      <c r="K2">
        <v>2056275</v>
      </c>
      <c r="L2">
        <v>1269906</v>
      </c>
      <c r="M2">
        <v>786369</v>
      </c>
      <c r="N2">
        <v>25.603999999999999</v>
      </c>
      <c r="O2">
        <v>41.459000000000003</v>
      </c>
      <c r="P2">
        <v>1359578</v>
      </c>
      <c r="Q2">
        <v>905577</v>
      </c>
      <c r="R2">
        <v>454001</v>
      </c>
      <c r="S2">
        <v>18.259</v>
      </c>
      <c r="T2">
        <v>27.411999999999999</v>
      </c>
      <c r="U2">
        <v>696697</v>
      </c>
      <c r="V2">
        <v>14.047000000000001</v>
      </c>
      <c r="W2">
        <v>54.823999999999998</v>
      </c>
      <c r="X2">
        <v>293089</v>
      </c>
      <c r="Y2">
        <v>293975</v>
      </c>
      <c r="Z2">
        <v>747882</v>
      </c>
    </row>
    <row r="3" spans="1:26" x14ac:dyDescent="0.25">
      <c r="A3">
        <v>1978</v>
      </c>
      <c r="B3" t="s">
        <v>55</v>
      </c>
      <c r="C3">
        <v>664181</v>
      </c>
      <c r="D3">
        <v>683508</v>
      </c>
      <c r="E3">
        <v>4941525</v>
      </c>
      <c r="F3">
        <v>4644809</v>
      </c>
      <c r="G3">
        <v>45203</v>
      </c>
      <c r="H3">
        <v>6.702</v>
      </c>
      <c r="I3">
        <v>27028</v>
      </c>
      <c r="J3">
        <v>4.008</v>
      </c>
      <c r="K3">
        <v>1361042</v>
      </c>
      <c r="L3">
        <v>514231</v>
      </c>
      <c r="M3">
        <v>846811</v>
      </c>
      <c r="N3">
        <v>11.071</v>
      </c>
      <c r="O3">
        <v>29.302</v>
      </c>
      <c r="P3">
        <v>770358</v>
      </c>
      <c r="Q3">
        <v>320393</v>
      </c>
      <c r="R3">
        <v>449965</v>
      </c>
      <c r="S3">
        <v>6.8979999999999997</v>
      </c>
      <c r="T3">
        <v>16.585000000000001</v>
      </c>
      <c r="U3">
        <v>590684</v>
      </c>
      <c r="V3">
        <v>12.717000000000001</v>
      </c>
      <c r="W3">
        <v>33.170999999999999</v>
      </c>
      <c r="X3">
        <v>20160</v>
      </c>
      <c r="Y3">
        <v>21122</v>
      </c>
      <c r="Z3">
        <v>266577</v>
      </c>
    </row>
    <row r="4" spans="1:26" x14ac:dyDescent="0.25">
      <c r="A4">
        <v>1978</v>
      </c>
      <c r="B4" t="s">
        <v>56</v>
      </c>
      <c r="C4">
        <v>387821</v>
      </c>
      <c r="D4">
        <v>427210</v>
      </c>
      <c r="E4">
        <v>5717255</v>
      </c>
      <c r="F4">
        <v>5403401</v>
      </c>
      <c r="G4">
        <v>23049</v>
      </c>
      <c r="H4">
        <v>5.4489999999999998</v>
      </c>
      <c r="I4">
        <v>14545</v>
      </c>
      <c r="J4">
        <v>3.4390000000000001</v>
      </c>
      <c r="K4">
        <v>1381610</v>
      </c>
      <c r="L4">
        <v>428404</v>
      </c>
      <c r="M4">
        <v>953206</v>
      </c>
      <c r="N4">
        <v>7.9279999999999999</v>
      </c>
      <c r="O4">
        <v>25.568999999999999</v>
      </c>
      <c r="P4">
        <v>754500</v>
      </c>
      <c r="Q4">
        <v>274726</v>
      </c>
      <c r="R4">
        <v>479774</v>
      </c>
      <c r="S4">
        <v>5.0839999999999996</v>
      </c>
      <c r="T4">
        <v>13.962999999999999</v>
      </c>
      <c r="U4">
        <v>627110</v>
      </c>
      <c r="V4">
        <v>11.606</v>
      </c>
      <c r="W4">
        <v>27.927</v>
      </c>
      <c r="X4">
        <v>8143</v>
      </c>
      <c r="Y4">
        <v>9207</v>
      </c>
      <c r="Z4">
        <v>218109</v>
      </c>
    </row>
    <row r="5" spans="1:26" x14ac:dyDescent="0.25">
      <c r="A5">
        <v>1978</v>
      </c>
      <c r="B5" t="s">
        <v>57</v>
      </c>
      <c r="C5">
        <v>304402</v>
      </c>
      <c r="D5">
        <v>429976</v>
      </c>
      <c r="E5">
        <v>12687966</v>
      </c>
      <c r="F5">
        <v>12020818</v>
      </c>
      <c r="G5">
        <v>28511</v>
      </c>
      <c r="H5">
        <v>6.6950000000000003</v>
      </c>
      <c r="I5">
        <v>20306</v>
      </c>
      <c r="J5">
        <v>4.7679999999999998</v>
      </c>
      <c r="K5">
        <v>2826847</v>
      </c>
      <c r="L5">
        <v>748787</v>
      </c>
      <c r="M5">
        <v>2078060</v>
      </c>
      <c r="N5">
        <v>6.2290000000000001</v>
      </c>
      <c r="O5">
        <v>23.515999999999998</v>
      </c>
      <c r="P5">
        <v>1494292</v>
      </c>
      <c r="Q5">
        <v>523063</v>
      </c>
      <c r="R5">
        <v>971229</v>
      </c>
      <c r="S5">
        <v>4.351</v>
      </c>
      <c r="T5">
        <v>12.430999999999999</v>
      </c>
      <c r="U5">
        <v>1332555</v>
      </c>
      <c r="V5">
        <v>11.085000000000001</v>
      </c>
      <c r="W5">
        <v>24.861999999999998</v>
      </c>
      <c r="X5">
        <v>4608</v>
      </c>
      <c r="Y5">
        <v>6108</v>
      </c>
      <c r="Z5">
        <v>334766</v>
      </c>
    </row>
    <row r="6" spans="1:26" x14ac:dyDescent="0.25">
      <c r="A6">
        <v>1978</v>
      </c>
      <c r="B6" t="s">
        <v>58</v>
      </c>
      <c r="C6">
        <v>45806</v>
      </c>
      <c r="D6">
        <v>165054</v>
      </c>
      <c r="E6">
        <v>9048914</v>
      </c>
      <c r="F6">
        <v>8689504</v>
      </c>
      <c r="G6">
        <v>16519</v>
      </c>
      <c r="H6">
        <v>10.057</v>
      </c>
      <c r="I6">
        <v>14905</v>
      </c>
      <c r="J6">
        <v>9.0749999999999993</v>
      </c>
      <c r="K6">
        <v>1896334</v>
      </c>
      <c r="L6">
        <v>481275</v>
      </c>
      <c r="M6">
        <v>1415059</v>
      </c>
      <c r="N6">
        <v>5.5389999999999997</v>
      </c>
      <c r="O6">
        <v>21.823</v>
      </c>
      <c r="P6">
        <v>1179212</v>
      </c>
      <c r="Q6">
        <v>411576</v>
      </c>
      <c r="R6">
        <v>767636</v>
      </c>
      <c r="S6">
        <v>4.7359999999999998</v>
      </c>
      <c r="T6">
        <v>13.571</v>
      </c>
      <c r="U6">
        <v>717122</v>
      </c>
      <c r="V6">
        <v>8.2530000000000001</v>
      </c>
      <c r="W6">
        <v>27.140999999999998</v>
      </c>
      <c r="X6">
        <v>386</v>
      </c>
      <c r="Y6">
        <v>982</v>
      </c>
      <c r="Z6">
        <v>136783</v>
      </c>
    </row>
    <row r="7" spans="1:26" x14ac:dyDescent="0.25">
      <c r="A7">
        <v>1978</v>
      </c>
      <c r="B7" t="s">
        <v>59</v>
      </c>
      <c r="C7">
        <v>5651</v>
      </c>
      <c r="D7">
        <v>53415</v>
      </c>
      <c r="E7">
        <v>3455609</v>
      </c>
      <c r="F7">
        <v>3365408</v>
      </c>
      <c r="G7">
        <v>5528</v>
      </c>
      <c r="H7">
        <v>10.417</v>
      </c>
      <c r="I7">
        <v>4834</v>
      </c>
      <c r="J7">
        <v>9.109</v>
      </c>
      <c r="K7">
        <v>638282</v>
      </c>
      <c r="L7">
        <v>158658</v>
      </c>
      <c r="M7">
        <v>479624</v>
      </c>
      <c r="N7">
        <v>4.7140000000000004</v>
      </c>
      <c r="O7">
        <v>18.966000000000001</v>
      </c>
      <c r="P7">
        <v>457210</v>
      </c>
      <c r="Q7">
        <v>172127</v>
      </c>
      <c r="R7">
        <v>285083</v>
      </c>
      <c r="S7">
        <v>5.1150000000000002</v>
      </c>
      <c r="T7">
        <v>13.586</v>
      </c>
      <c r="U7">
        <v>181072</v>
      </c>
      <c r="V7">
        <v>5.38</v>
      </c>
      <c r="W7">
        <v>27.170999999999999</v>
      </c>
      <c r="X7">
        <v>33</v>
      </c>
      <c r="Y7">
        <v>95</v>
      </c>
      <c r="Z7">
        <v>44526</v>
      </c>
    </row>
    <row r="8" spans="1:26" x14ac:dyDescent="0.25">
      <c r="A8">
        <v>1978</v>
      </c>
      <c r="B8" t="s">
        <v>60</v>
      </c>
      <c r="C8">
        <v>3538</v>
      </c>
      <c r="D8">
        <v>66430</v>
      </c>
      <c r="E8">
        <v>4514550</v>
      </c>
      <c r="F8">
        <v>4417110</v>
      </c>
      <c r="G8">
        <v>6285</v>
      </c>
      <c r="H8">
        <v>9.4649999999999999</v>
      </c>
      <c r="I8">
        <v>6230</v>
      </c>
      <c r="J8">
        <v>9.3819999999999997</v>
      </c>
      <c r="K8">
        <v>730299</v>
      </c>
      <c r="L8">
        <v>197713</v>
      </c>
      <c r="M8">
        <v>532586</v>
      </c>
      <c r="N8">
        <v>4.476</v>
      </c>
      <c r="O8">
        <v>16.533000000000001</v>
      </c>
      <c r="P8">
        <v>536219</v>
      </c>
      <c r="Q8">
        <v>213509</v>
      </c>
      <c r="R8">
        <v>322710</v>
      </c>
      <c r="S8">
        <v>4.8339999999999996</v>
      </c>
      <c r="T8">
        <v>12.14</v>
      </c>
      <c r="U8">
        <v>194080</v>
      </c>
      <c r="V8">
        <v>4.3940000000000001</v>
      </c>
      <c r="W8">
        <v>24.279</v>
      </c>
      <c r="X8">
        <v>13</v>
      </c>
      <c r="Y8">
        <v>78</v>
      </c>
      <c r="Z8">
        <v>38307</v>
      </c>
    </row>
    <row r="9" spans="1:26" x14ac:dyDescent="0.25">
      <c r="A9">
        <v>1978</v>
      </c>
      <c r="B9" t="s">
        <v>61</v>
      </c>
      <c r="C9">
        <v>1406</v>
      </c>
      <c r="D9">
        <v>57119</v>
      </c>
      <c r="E9">
        <v>3398786</v>
      </c>
      <c r="F9">
        <v>3333944</v>
      </c>
      <c r="G9">
        <v>4920</v>
      </c>
      <c r="H9">
        <v>8.64</v>
      </c>
      <c r="I9">
        <v>4568</v>
      </c>
      <c r="J9">
        <v>8.0220000000000002</v>
      </c>
      <c r="K9">
        <v>534182</v>
      </c>
      <c r="L9">
        <v>154238</v>
      </c>
      <c r="M9">
        <v>379944</v>
      </c>
      <c r="N9">
        <v>4.6260000000000003</v>
      </c>
      <c r="O9">
        <v>16.023</v>
      </c>
      <c r="P9">
        <v>404233</v>
      </c>
      <c r="Q9">
        <v>145579</v>
      </c>
      <c r="R9">
        <v>258654</v>
      </c>
      <c r="S9">
        <v>4.367</v>
      </c>
      <c r="T9">
        <v>12.125</v>
      </c>
      <c r="U9">
        <v>129949</v>
      </c>
      <c r="V9">
        <v>3.8980000000000001</v>
      </c>
      <c r="W9">
        <v>24.25</v>
      </c>
      <c r="X9" t="s">
        <v>62</v>
      </c>
      <c r="Y9" t="s">
        <v>62</v>
      </c>
      <c r="Z9" t="s">
        <v>62</v>
      </c>
    </row>
    <row r="10" spans="1:26" x14ac:dyDescent="0.25">
      <c r="A10">
        <v>1978</v>
      </c>
      <c r="B10" t="s">
        <v>63</v>
      </c>
      <c r="C10">
        <v>853</v>
      </c>
      <c r="D10">
        <v>50636</v>
      </c>
      <c r="E10">
        <v>3615946</v>
      </c>
      <c r="F10">
        <v>3525283</v>
      </c>
      <c r="G10">
        <v>4297</v>
      </c>
      <c r="H10">
        <v>8.5730000000000004</v>
      </c>
      <c r="I10">
        <v>3266</v>
      </c>
      <c r="J10">
        <v>6.516</v>
      </c>
      <c r="K10">
        <v>572259</v>
      </c>
      <c r="L10">
        <v>146155</v>
      </c>
      <c r="M10">
        <v>426104</v>
      </c>
      <c r="N10">
        <v>4.1459999999999999</v>
      </c>
      <c r="O10">
        <v>16.233000000000001</v>
      </c>
      <c r="P10">
        <v>389836</v>
      </c>
      <c r="Q10">
        <v>115055</v>
      </c>
      <c r="R10">
        <v>274781</v>
      </c>
      <c r="S10">
        <v>3.2639999999999998</v>
      </c>
      <c r="T10">
        <v>11.058</v>
      </c>
      <c r="U10">
        <v>182423</v>
      </c>
      <c r="V10">
        <v>5.1749999999999998</v>
      </c>
      <c r="W10">
        <v>22.117000000000001</v>
      </c>
      <c r="X10" t="s">
        <v>62</v>
      </c>
      <c r="Y10" t="s">
        <v>62</v>
      </c>
      <c r="Z10" t="s">
        <v>62</v>
      </c>
    </row>
    <row r="11" spans="1:26" x14ac:dyDescent="0.25">
      <c r="A11">
        <v>1978</v>
      </c>
      <c r="B11" t="s">
        <v>64</v>
      </c>
      <c r="C11">
        <v>744</v>
      </c>
      <c r="D11">
        <v>222594</v>
      </c>
      <c r="E11">
        <v>17570777</v>
      </c>
      <c r="F11">
        <v>17308612</v>
      </c>
      <c r="G11">
        <v>16042</v>
      </c>
      <c r="H11">
        <v>7.242</v>
      </c>
      <c r="I11">
        <v>13905</v>
      </c>
      <c r="J11">
        <v>6.2770000000000001</v>
      </c>
      <c r="K11">
        <v>2260675</v>
      </c>
      <c r="L11">
        <v>500020</v>
      </c>
      <c r="M11">
        <v>1760655</v>
      </c>
      <c r="N11">
        <v>2.8889999999999998</v>
      </c>
      <c r="O11">
        <v>13.061</v>
      </c>
      <c r="P11">
        <v>1733126</v>
      </c>
      <c r="Q11">
        <v>485455</v>
      </c>
      <c r="R11">
        <v>1247671</v>
      </c>
      <c r="S11">
        <v>2.8050000000000002</v>
      </c>
      <c r="T11">
        <v>10.013</v>
      </c>
      <c r="U11">
        <v>527549</v>
      </c>
      <c r="V11">
        <v>3.048</v>
      </c>
      <c r="W11">
        <v>20.026</v>
      </c>
      <c r="X11" t="s">
        <v>62</v>
      </c>
      <c r="Y11" t="s">
        <v>62</v>
      </c>
      <c r="Z11" t="s">
        <v>62</v>
      </c>
    </row>
    <row r="12" spans="1:26" x14ac:dyDescent="0.25">
      <c r="A12">
        <v>1979</v>
      </c>
      <c r="B12" t="s">
        <v>54</v>
      </c>
      <c r="C12">
        <v>2186767</v>
      </c>
      <c r="D12">
        <v>2194572</v>
      </c>
      <c r="E12">
        <v>5310393</v>
      </c>
      <c r="F12">
        <v>5100862</v>
      </c>
      <c r="G12">
        <v>481018</v>
      </c>
      <c r="H12">
        <v>22.507999999999999</v>
      </c>
      <c r="I12">
        <v>366146</v>
      </c>
      <c r="J12">
        <v>17.132999999999999</v>
      </c>
      <c r="K12">
        <v>1952049</v>
      </c>
      <c r="L12">
        <v>1250499</v>
      </c>
      <c r="M12">
        <v>701550</v>
      </c>
      <c r="N12">
        <v>24.515000000000001</v>
      </c>
      <c r="O12">
        <v>38.268999999999998</v>
      </c>
      <c r="P12">
        <v>1533200</v>
      </c>
      <c r="Q12">
        <v>948116</v>
      </c>
      <c r="R12">
        <v>585084</v>
      </c>
      <c r="S12">
        <v>18.587</v>
      </c>
      <c r="T12">
        <v>30.058</v>
      </c>
      <c r="U12">
        <v>418849</v>
      </c>
      <c r="V12">
        <v>8.2110000000000003</v>
      </c>
      <c r="W12">
        <v>60.115000000000002</v>
      </c>
      <c r="X12">
        <v>293238</v>
      </c>
      <c r="Y12">
        <v>294317</v>
      </c>
      <c r="Z12">
        <v>772183</v>
      </c>
    </row>
    <row r="13" spans="1:26" x14ac:dyDescent="0.25">
      <c r="A13">
        <v>1979</v>
      </c>
      <c r="B13" t="s">
        <v>55</v>
      </c>
      <c r="C13">
        <v>704199</v>
      </c>
      <c r="D13">
        <v>724179</v>
      </c>
      <c r="E13">
        <v>5144423</v>
      </c>
      <c r="F13">
        <v>4979383</v>
      </c>
      <c r="G13">
        <v>40396</v>
      </c>
      <c r="H13">
        <v>5.609</v>
      </c>
      <c r="I13">
        <v>32424</v>
      </c>
      <c r="J13">
        <v>4.5019999999999998</v>
      </c>
      <c r="K13">
        <v>1308482</v>
      </c>
      <c r="L13">
        <v>489472</v>
      </c>
      <c r="M13">
        <v>819010</v>
      </c>
      <c r="N13">
        <v>9.83</v>
      </c>
      <c r="O13">
        <v>26.277999999999999</v>
      </c>
      <c r="P13">
        <v>981228</v>
      </c>
      <c r="Q13">
        <v>385409</v>
      </c>
      <c r="R13">
        <v>595819</v>
      </c>
      <c r="S13">
        <v>7.74</v>
      </c>
      <c r="T13">
        <v>19.706</v>
      </c>
      <c r="U13">
        <v>327254</v>
      </c>
      <c r="V13">
        <v>6.5720000000000001</v>
      </c>
      <c r="W13">
        <v>39.411999999999999</v>
      </c>
      <c r="X13">
        <v>23335</v>
      </c>
      <c r="Y13">
        <v>24358</v>
      </c>
      <c r="Z13">
        <v>308191</v>
      </c>
    </row>
    <row r="14" spans="1:26" x14ac:dyDescent="0.25">
      <c r="A14">
        <v>1979</v>
      </c>
      <c r="B14" t="s">
        <v>56</v>
      </c>
      <c r="C14">
        <v>417643</v>
      </c>
      <c r="D14">
        <v>457011</v>
      </c>
      <c r="E14">
        <v>6059036</v>
      </c>
      <c r="F14">
        <v>5867854</v>
      </c>
      <c r="G14">
        <v>18810</v>
      </c>
      <c r="H14">
        <v>4.1280000000000001</v>
      </c>
      <c r="I14">
        <v>16094</v>
      </c>
      <c r="J14">
        <v>3.532</v>
      </c>
      <c r="K14">
        <v>1320561</v>
      </c>
      <c r="L14">
        <v>389213</v>
      </c>
      <c r="M14">
        <v>931348</v>
      </c>
      <c r="N14">
        <v>6.633</v>
      </c>
      <c r="O14">
        <v>22.504999999999999</v>
      </c>
      <c r="P14">
        <v>937903</v>
      </c>
      <c r="Q14">
        <v>321371</v>
      </c>
      <c r="R14">
        <v>616532</v>
      </c>
      <c r="S14">
        <v>5.4770000000000003</v>
      </c>
      <c r="T14">
        <v>15.984</v>
      </c>
      <c r="U14">
        <v>382658</v>
      </c>
      <c r="V14">
        <v>6.5209999999999999</v>
      </c>
      <c r="W14">
        <v>31.966999999999999</v>
      </c>
      <c r="X14">
        <v>9277</v>
      </c>
      <c r="Y14">
        <v>10155</v>
      </c>
      <c r="Z14">
        <v>247160</v>
      </c>
    </row>
    <row r="15" spans="1:26" x14ac:dyDescent="0.25">
      <c r="A15">
        <v>1979</v>
      </c>
      <c r="B15" t="s">
        <v>57</v>
      </c>
      <c r="C15">
        <v>332617</v>
      </c>
      <c r="D15">
        <v>460289</v>
      </c>
      <c r="E15">
        <v>13697364</v>
      </c>
      <c r="F15">
        <v>13254858</v>
      </c>
      <c r="G15">
        <v>21485</v>
      </c>
      <c r="H15">
        <v>4.6929999999999996</v>
      </c>
      <c r="I15">
        <v>16564</v>
      </c>
      <c r="J15">
        <v>3.6179999999999999</v>
      </c>
      <c r="K15">
        <v>2627125</v>
      </c>
      <c r="L15">
        <v>608076</v>
      </c>
      <c r="M15">
        <v>2019049</v>
      </c>
      <c r="N15">
        <v>4.5880000000000001</v>
      </c>
      <c r="O15">
        <v>19.82</v>
      </c>
      <c r="P15">
        <v>1740168</v>
      </c>
      <c r="Q15">
        <v>515978</v>
      </c>
      <c r="R15">
        <v>1224190</v>
      </c>
      <c r="S15">
        <v>3.8929999999999998</v>
      </c>
      <c r="T15">
        <v>13.129</v>
      </c>
      <c r="U15">
        <v>886957</v>
      </c>
      <c r="V15">
        <v>6.6920000000000002</v>
      </c>
      <c r="W15">
        <v>26.257000000000001</v>
      </c>
      <c r="X15">
        <v>4731</v>
      </c>
      <c r="Y15">
        <v>5771</v>
      </c>
      <c r="Z15">
        <v>336813</v>
      </c>
    </row>
    <row r="16" spans="1:26" x14ac:dyDescent="0.25">
      <c r="A16">
        <v>1979</v>
      </c>
      <c r="B16" t="s">
        <v>58</v>
      </c>
      <c r="C16">
        <v>49884</v>
      </c>
      <c r="D16">
        <v>177090</v>
      </c>
      <c r="E16">
        <v>9792698</v>
      </c>
      <c r="F16">
        <v>9491822</v>
      </c>
      <c r="G16">
        <v>14401</v>
      </c>
      <c r="H16">
        <v>8.2569999999999997</v>
      </c>
      <c r="I16">
        <v>9033</v>
      </c>
      <c r="J16">
        <v>5.1790000000000003</v>
      </c>
      <c r="K16">
        <v>1725666</v>
      </c>
      <c r="L16">
        <v>413110</v>
      </c>
      <c r="M16">
        <v>1312556</v>
      </c>
      <c r="N16">
        <v>4.3520000000000003</v>
      </c>
      <c r="O16">
        <v>18.181000000000001</v>
      </c>
      <c r="P16">
        <v>1123445</v>
      </c>
      <c r="Q16">
        <v>296579</v>
      </c>
      <c r="R16">
        <v>826866</v>
      </c>
      <c r="S16">
        <v>3.125</v>
      </c>
      <c r="T16">
        <v>11.836</v>
      </c>
      <c r="U16">
        <v>602221</v>
      </c>
      <c r="V16">
        <v>6.3449999999999998</v>
      </c>
      <c r="W16">
        <v>23.672000000000001</v>
      </c>
      <c r="X16">
        <v>314</v>
      </c>
      <c r="Y16">
        <v>707</v>
      </c>
      <c r="Z16">
        <v>101883</v>
      </c>
    </row>
    <row r="17" spans="1:26" x14ac:dyDescent="0.25">
      <c r="A17">
        <v>1979</v>
      </c>
      <c r="B17" t="s">
        <v>59</v>
      </c>
      <c r="C17">
        <v>5889</v>
      </c>
      <c r="D17">
        <v>55031</v>
      </c>
      <c r="E17">
        <v>3659498</v>
      </c>
      <c r="F17">
        <v>3563940</v>
      </c>
      <c r="G17">
        <v>4706</v>
      </c>
      <c r="H17">
        <v>8.6709999999999994</v>
      </c>
      <c r="I17">
        <v>3184</v>
      </c>
      <c r="J17">
        <v>5.867</v>
      </c>
      <c r="K17">
        <v>563369</v>
      </c>
      <c r="L17">
        <v>147014</v>
      </c>
      <c r="M17">
        <v>416355</v>
      </c>
      <c r="N17">
        <v>4.125</v>
      </c>
      <c r="O17">
        <v>15.807</v>
      </c>
      <c r="P17">
        <v>370322</v>
      </c>
      <c r="Q17">
        <v>100255</v>
      </c>
      <c r="R17">
        <v>270067</v>
      </c>
      <c r="S17">
        <v>2.8130000000000002</v>
      </c>
      <c r="T17">
        <v>10.391</v>
      </c>
      <c r="U17">
        <v>193047</v>
      </c>
      <c r="V17">
        <v>5.4169999999999998</v>
      </c>
      <c r="W17">
        <v>20.782</v>
      </c>
      <c r="X17">
        <v>17</v>
      </c>
      <c r="Y17">
        <v>128</v>
      </c>
      <c r="Z17">
        <v>23335</v>
      </c>
    </row>
    <row r="18" spans="1:26" x14ac:dyDescent="0.25">
      <c r="A18">
        <v>1979</v>
      </c>
      <c r="B18" t="s">
        <v>60</v>
      </c>
      <c r="C18">
        <v>3613</v>
      </c>
      <c r="D18">
        <v>71322</v>
      </c>
      <c r="E18">
        <v>4763382</v>
      </c>
      <c r="F18">
        <v>4603150</v>
      </c>
      <c r="G18">
        <v>7072</v>
      </c>
      <c r="H18">
        <v>10.156000000000001</v>
      </c>
      <c r="I18">
        <v>3690</v>
      </c>
      <c r="J18">
        <v>5.2990000000000004</v>
      </c>
      <c r="K18">
        <v>700593</v>
      </c>
      <c r="L18">
        <v>190023</v>
      </c>
      <c r="M18">
        <v>510570</v>
      </c>
      <c r="N18">
        <v>4.1280000000000001</v>
      </c>
      <c r="O18">
        <v>15.22</v>
      </c>
      <c r="P18">
        <v>382918</v>
      </c>
      <c r="Q18">
        <v>98463</v>
      </c>
      <c r="R18">
        <v>284455</v>
      </c>
      <c r="S18">
        <v>2.1389999999999998</v>
      </c>
      <c r="T18">
        <v>8.3190000000000008</v>
      </c>
      <c r="U18">
        <v>317675</v>
      </c>
      <c r="V18">
        <v>6.9009999999999998</v>
      </c>
      <c r="W18">
        <v>16.637</v>
      </c>
      <c r="X18" t="s">
        <v>62</v>
      </c>
      <c r="Y18" t="s">
        <v>62</v>
      </c>
      <c r="Z18" t="s">
        <v>62</v>
      </c>
    </row>
    <row r="19" spans="1:26" x14ac:dyDescent="0.25">
      <c r="A19">
        <v>1979</v>
      </c>
      <c r="B19" t="s">
        <v>61</v>
      </c>
      <c r="C19">
        <v>1443</v>
      </c>
      <c r="D19">
        <v>54801</v>
      </c>
      <c r="E19">
        <v>3542879</v>
      </c>
      <c r="F19">
        <v>3414677</v>
      </c>
      <c r="G19">
        <v>6653</v>
      </c>
      <c r="H19">
        <v>12.563000000000001</v>
      </c>
      <c r="I19">
        <v>2965</v>
      </c>
      <c r="J19">
        <v>5.5990000000000002</v>
      </c>
      <c r="K19">
        <v>570107</v>
      </c>
      <c r="L19">
        <v>189759</v>
      </c>
      <c r="M19">
        <v>380348</v>
      </c>
      <c r="N19">
        <v>5.5570000000000004</v>
      </c>
      <c r="O19">
        <v>16.696000000000002</v>
      </c>
      <c r="P19">
        <v>317516</v>
      </c>
      <c r="Q19">
        <v>95213</v>
      </c>
      <c r="R19">
        <v>222303</v>
      </c>
      <c r="S19">
        <v>2.7879999999999998</v>
      </c>
      <c r="T19">
        <v>9.2989999999999995</v>
      </c>
      <c r="U19">
        <v>252591</v>
      </c>
      <c r="V19">
        <v>7.3970000000000002</v>
      </c>
      <c r="W19">
        <v>18.597000000000001</v>
      </c>
      <c r="X19">
        <v>0</v>
      </c>
      <c r="Y19">
        <v>0</v>
      </c>
      <c r="Z19">
        <v>0</v>
      </c>
    </row>
    <row r="20" spans="1:26" x14ac:dyDescent="0.25">
      <c r="A20">
        <v>1979</v>
      </c>
      <c r="B20" t="s">
        <v>63</v>
      </c>
      <c r="C20">
        <v>856</v>
      </c>
      <c r="D20">
        <v>57812</v>
      </c>
      <c r="E20">
        <v>3990892</v>
      </c>
      <c r="F20">
        <v>3897764</v>
      </c>
      <c r="G20">
        <v>4277</v>
      </c>
      <c r="H20">
        <v>7.4560000000000004</v>
      </c>
      <c r="I20">
        <v>3377</v>
      </c>
      <c r="J20">
        <v>5.8869999999999996</v>
      </c>
      <c r="K20">
        <v>567738</v>
      </c>
      <c r="L20">
        <v>136873</v>
      </c>
      <c r="M20">
        <v>430865</v>
      </c>
      <c r="N20">
        <v>3.512</v>
      </c>
      <c r="O20">
        <v>14.566000000000001</v>
      </c>
      <c r="P20">
        <v>382639</v>
      </c>
      <c r="Q20">
        <v>96283</v>
      </c>
      <c r="R20">
        <v>286356</v>
      </c>
      <c r="S20">
        <v>2.4700000000000002</v>
      </c>
      <c r="T20">
        <v>9.8170000000000002</v>
      </c>
      <c r="U20">
        <v>185099</v>
      </c>
      <c r="V20">
        <v>4.7489999999999997</v>
      </c>
      <c r="W20">
        <v>19.634</v>
      </c>
      <c r="X20">
        <v>0</v>
      </c>
      <c r="Y20">
        <v>0</v>
      </c>
      <c r="Z20">
        <v>0</v>
      </c>
    </row>
    <row r="21" spans="1:26" x14ac:dyDescent="0.25">
      <c r="A21">
        <v>1979</v>
      </c>
      <c r="B21" t="s">
        <v>64</v>
      </c>
      <c r="C21">
        <v>749</v>
      </c>
      <c r="D21">
        <v>234490</v>
      </c>
      <c r="E21">
        <v>18753863</v>
      </c>
      <c r="F21">
        <v>18406247</v>
      </c>
      <c r="G21">
        <v>17597</v>
      </c>
      <c r="H21">
        <v>7.556</v>
      </c>
      <c r="I21">
        <v>14394</v>
      </c>
      <c r="J21">
        <v>6.181</v>
      </c>
      <c r="K21">
        <v>2367078</v>
      </c>
      <c r="L21">
        <v>541596</v>
      </c>
      <c r="M21">
        <v>1825482</v>
      </c>
      <c r="N21">
        <v>2.9420000000000002</v>
      </c>
      <c r="O21">
        <v>12.86</v>
      </c>
      <c r="P21">
        <v>1658586</v>
      </c>
      <c r="Q21">
        <v>400332</v>
      </c>
      <c r="R21">
        <v>1258254</v>
      </c>
      <c r="S21">
        <v>2.1749999999999998</v>
      </c>
      <c r="T21">
        <v>9.0109999999999992</v>
      </c>
      <c r="U21">
        <v>708492</v>
      </c>
      <c r="V21">
        <v>3.8490000000000002</v>
      </c>
      <c r="W21">
        <v>18.021999999999998</v>
      </c>
      <c r="X21">
        <v>0</v>
      </c>
      <c r="Y21">
        <v>0</v>
      </c>
      <c r="Z21">
        <v>0</v>
      </c>
    </row>
    <row r="22" spans="1:26" x14ac:dyDescent="0.25">
      <c r="A22">
        <v>1980</v>
      </c>
      <c r="B22" t="s">
        <v>54</v>
      </c>
      <c r="C22">
        <v>2202635</v>
      </c>
      <c r="D22">
        <v>2211060</v>
      </c>
      <c r="E22">
        <v>5204405</v>
      </c>
      <c r="F22">
        <v>5176167</v>
      </c>
      <c r="G22">
        <v>454644</v>
      </c>
      <c r="H22">
        <v>20.774999999999999</v>
      </c>
      <c r="I22">
        <v>409462</v>
      </c>
      <c r="J22">
        <v>18.71</v>
      </c>
      <c r="K22">
        <v>1761254</v>
      </c>
      <c r="L22">
        <v>1178277</v>
      </c>
      <c r="M22">
        <v>582977</v>
      </c>
      <c r="N22">
        <v>22.763999999999999</v>
      </c>
      <c r="O22">
        <v>34.026000000000003</v>
      </c>
      <c r="P22">
        <v>1706619</v>
      </c>
      <c r="Q22">
        <v>1022759</v>
      </c>
      <c r="R22">
        <v>683860</v>
      </c>
      <c r="S22">
        <v>19.759</v>
      </c>
      <c r="T22">
        <v>32.970999999999997</v>
      </c>
      <c r="U22">
        <v>54635</v>
      </c>
      <c r="V22">
        <v>1.056</v>
      </c>
      <c r="W22">
        <v>65.941000000000003</v>
      </c>
      <c r="X22">
        <v>328982</v>
      </c>
      <c r="Y22">
        <v>330213</v>
      </c>
      <c r="Z22">
        <v>835336</v>
      </c>
    </row>
    <row r="23" spans="1:26" x14ac:dyDescent="0.25">
      <c r="A23">
        <v>1980</v>
      </c>
      <c r="B23" t="s">
        <v>55</v>
      </c>
      <c r="C23">
        <v>715112</v>
      </c>
      <c r="D23">
        <v>735013</v>
      </c>
      <c r="E23">
        <v>5025058</v>
      </c>
      <c r="F23">
        <v>5055846</v>
      </c>
      <c r="G23">
        <v>37945</v>
      </c>
      <c r="H23">
        <v>5.1769999999999996</v>
      </c>
      <c r="I23">
        <v>33879</v>
      </c>
      <c r="J23">
        <v>4.6219999999999999</v>
      </c>
      <c r="K23">
        <v>1102499</v>
      </c>
      <c r="L23">
        <v>454239</v>
      </c>
      <c r="M23">
        <v>648260</v>
      </c>
      <c r="N23">
        <v>8.984</v>
      </c>
      <c r="O23">
        <v>21.806000000000001</v>
      </c>
      <c r="P23">
        <v>1162893</v>
      </c>
      <c r="Q23">
        <v>404101</v>
      </c>
      <c r="R23">
        <v>758792</v>
      </c>
      <c r="S23">
        <v>7.9930000000000003</v>
      </c>
      <c r="T23">
        <v>23.001000000000001</v>
      </c>
      <c r="U23">
        <v>-60394</v>
      </c>
      <c r="V23">
        <v>-1.1950000000000001</v>
      </c>
      <c r="W23">
        <v>43.613</v>
      </c>
      <c r="X23">
        <v>25136</v>
      </c>
      <c r="Y23">
        <v>26186</v>
      </c>
      <c r="Z23">
        <v>332511</v>
      </c>
    </row>
    <row r="24" spans="1:26" x14ac:dyDescent="0.25">
      <c r="A24">
        <v>1980</v>
      </c>
      <c r="B24" t="s">
        <v>56</v>
      </c>
      <c r="C24">
        <v>426089</v>
      </c>
      <c r="D24">
        <v>464657</v>
      </c>
      <c r="E24">
        <v>5960915</v>
      </c>
      <c r="F24">
        <v>5983465</v>
      </c>
      <c r="G24">
        <v>17653</v>
      </c>
      <c r="H24">
        <v>3.8029999999999999</v>
      </c>
      <c r="I24">
        <v>16669</v>
      </c>
      <c r="J24">
        <v>3.5910000000000002</v>
      </c>
      <c r="K24">
        <v>1106747</v>
      </c>
      <c r="L24">
        <v>364842</v>
      </c>
      <c r="M24">
        <v>741905</v>
      </c>
      <c r="N24">
        <v>6.0979999999999999</v>
      </c>
      <c r="O24">
        <v>18.497</v>
      </c>
      <c r="P24">
        <v>1150996</v>
      </c>
      <c r="Q24">
        <v>336844</v>
      </c>
      <c r="R24">
        <v>814152</v>
      </c>
      <c r="S24">
        <v>5.63</v>
      </c>
      <c r="T24">
        <v>19.236000000000001</v>
      </c>
      <c r="U24">
        <v>-44249</v>
      </c>
      <c r="V24">
        <v>-0.74</v>
      </c>
      <c r="W24">
        <v>36.994</v>
      </c>
      <c r="X24">
        <v>10025</v>
      </c>
      <c r="Y24">
        <v>11007</v>
      </c>
      <c r="Z24">
        <v>269104</v>
      </c>
    </row>
    <row r="25" spans="1:26" x14ac:dyDescent="0.25">
      <c r="A25">
        <v>1980</v>
      </c>
      <c r="B25" t="s">
        <v>57</v>
      </c>
      <c r="C25">
        <v>342658</v>
      </c>
      <c r="D25">
        <v>468648</v>
      </c>
      <c r="E25">
        <v>13657147</v>
      </c>
      <c r="F25">
        <v>13647845</v>
      </c>
      <c r="G25">
        <v>18535</v>
      </c>
      <c r="H25">
        <v>3.9630000000000001</v>
      </c>
      <c r="I25">
        <v>16716</v>
      </c>
      <c r="J25">
        <v>3.5739999999999998</v>
      </c>
      <c r="K25">
        <v>2210256</v>
      </c>
      <c r="L25">
        <v>574609</v>
      </c>
      <c r="M25">
        <v>1635647</v>
      </c>
      <c r="N25">
        <v>4.21</v>
      </c>
      <c r="O25">
        <v>16.195</v>
      </c>
      <c r="P25">
        <v>2192551</v>
      </c>
      <c r="Q25">
        <v>529049</v>
      </c>
      <c r="R25">
        <v>1663502</v>
      </c>
      <c r="S25">
        <v>3.8759999999999999</v>
      </c>
      <c r="T25">
        <v>16.065000000000001</v>
      </c>
      <c r="U25">
        <v>17705</v>
      </c>
      <c r="V25">
        <v>0.13</v>
      </c>
      <c r="W25">
        <v>32.130000000000003</v>
      </c>
      <c r="X25">
        <v>5082</v>
      </c>
      <c r="Y25">
        <v>6358</v>
      </c>
      <c r="Z25">
        <v>364070</v>
      </c>
    </row>
    <row r="26" spans="1:26" x14ac:dyDescent="0.25">
      <c r="A26">
        <v>1980</v>
      </c>
      <c r="B26" t="s">
        <v>58</v>
      </c>
      <c r="C26">
        <v>51770</v>
      </c>
      <c r="D26">
        <v>183454</v>
      </c>
      <c r="E26">
        <v>9952382</v>
      </c>
      <c r="F26">
        <v>9881349</v>
      </c>
      <c r="G26">
        <v>12942</v>
      </c>
      <c r="H26">
        <v>7.1239999999999997</v>
      </c>
      <c r="I26">
        <v>9358</v>
      </c>
      <c r="J26">
        <v>5.1509999999999998</v>
      </c>
      <c r="K26">
        <v>1491538</v>
      </c>
      <c r="L26">
        <v>370698</v>
      </c>
      <c r="M26">
        <v>1120840</v>
      </c>
      <c r="N26">
        <v>3.7509999999999999</v>
      </c>
      <c r="O26">
        <v>15.093999999999999</v>
      </c>
      <c r="P26">
        <v>1352890</v>
      </c>
      <c r="Q26">
        <v>328035</v>
      </c>
      <c r="R26">
        <v>1024855</v>
      </c>
      <c r="S26">
        <v>3.32</v>
      </c>
      <c r="T26">
        <v>13.691000000000001</v>
      </c>
      <c r="U26">
        <v>138648</v>
      </c>
      <c r="V26">
        <v>1.403</v>
      </c>
      <c r="W26">
        <v>27.382999999999999</v>
      </c>
      <c r="X26">
        <v>325</v>
      </c>
      <c r="Y26">
        <v>751</v>
      </c>
      <c r="Z26">
        <v>111473</v>
      </c>
    </row>
    <row r="27" spans="1:26" x14ac:dyDescent="0.25">
      <c r="A27">
        <v>1980</v>
      </c>
      <c r="B27" t="s">
        <v>59</v>
      </c>
      <c r="C27">
        <v>5925</v>
      </c>
      <c r="D27">
        <v>57470</v>
      </c>
      <c r="E27">
        <v>3640154</v>
      </c>
      <c r="F27">
        <v>3607745</v>
      </c>
      <c r="G27">
        <v>4985</v>
      </c>
      <c r="H27">
        <v>8.8079999999999998</v>
      </c>
      <c r="I27">
        <v>3238</v>
      </c>
      <c r="J27">
        <v>5.7210000000000001</v>
      </c>
      <c r="K27">
        <v>486222</v>
      </c>
      <c r="L27">
        <v>140696</v>
      </c>
      <c r="M27">
        <v>345526</v>
      </c>
      <c r="N27">
        <v>3.9</v>
      </c>
      <c r="O27">
        <v>13.477</v>
      </c>
      <c r="P27">
        <v>421593</v>
      </c>
      <c r="Q27">
        <v>103407</v>
      </c>
      <c r="R27">
        <v>318186</v>
      </c>
      <c r="S27">
        <v>2.8660000000000001</v>
      </c>
      <c r="T27">
        <v>11.686</v>
      </c>
      <c r="U27">
        <v>64629</v>
      </c>
      <c r="V27">
        <v>1.7909999999999999</v>
      </c>
      <c r="W27">
        <v>23.372</v>
      </c>
      <c r="X27">
        <v>14</v>
      </c>
      <c r="Y27">
        <v>58</v>
      </c>
      <c r="Z27">
        <v>18697</v>
      </c>
    </row>
    <row r="28" spans="1:26" x14ac:dyDescent="0.25">
      <c r="A28">
        <v>1980</v>
      </c>
      <c r="B28" t="s">
        <v>60</v>
      </c>
      <c r="C28">
        <v>3745</v>
      </c>
      <c r="D28">
        <v>71386</v>
      </c>
      <c r="E28">
        <v>4864999</v>
      </c>
      <c r="F28">
        <v>4789652</v>
      </c>
      <c r="G28">
        <v>6991</v>
      </c>
      <c r="H28">
        <v>10.015000000000001</v>
      </c>
      <c r="I28">
        <v>3826</v>
      </c>
      <c r="J28">
        <v>5.4809999999999999</v>
      </c>
      <c r="K28">
        <v>605874</v>
      </c>
      <c r="L28">
        <v>170114</v>
      </c>
      <c r="M28">
        <v>435760</v>
      </c>
      <c r="N28">
        <v>3.552</v>
      </c>
      <c r="O28">
        <v>12.65</v>
      </c>
      <c r="P28">
        <v>453230</v>
      </c>
      <c r="Q28">
        <v>111700</v>
      </c>
      <c r="R28">
        <v>341530</v>
      </c>
      <c r="S28">
        <v>2.3319999999999999</v>
      </c>
      <c r="T28">
        <v>9.4629999999999992</v>
      </c>
      <c r="U28">
        <v>152644</v>
      </c>
      <c r="V28">
        <v>3.1869999999999998</v>
      </c>
      <c r="W28">
        <v>18.925000000000001</v>
      </c>
      <c r="X28" t="s">
        <v>62</v>
      </c>
      <c r="Y28" t="s">
        <v>62</v>
      </c>
      <c r="Z28" t="s">
        <v>62</v>
      </c>
    </row>
    <row r="29" spans="1:26" x14ac:dyDescent="0.25">
      <c r="A29">
        <v>1980</v>
      </c>
      <c r="B29" t="s">
        <v>61</v>
      </c>
      <c r="C29">
        <v>1457</v>
      </c>
      <c r="D29">
        <v>55817</v>
      </c>
      <c r="E29">
        <v>3598898</v>
      </c>
      <c r="F29">
        <v>3572948</v>
      </c>
      <c r="G29">
        <v>4788</v>
      </c>
      <c r="H29">
        <v>8.67</v>
      </c>
      <c r="I29">
        <v>3605</v>
      </c>
      <c r="J29">
        <v>6.5279999999999996</v>
      </c>
      <c r="K29">
        <v>435853</v>
      </c>
      <c r="L29">
        <v>134882</v>
      </c>
      <c r="M29">
        <v>300971</v>
      </c>
      <c r="N29">
        <v>3.7749999999999999</v>
      </c>
      <c r="O29">
        <v>12.199</v>
      </c>
      <c r="P29">
        <v>380681</v>
      </c>
      <c r="Q29">
        <v>102818</v>
      </c>
      <c r="R29">
        <v>277863</v>
      </c>
      <c r="S29">
        <v>2.8780000000000001</v>
      </c>
      <c r="T29">
        <v>10.654999999999999</v>
      </c>
      <c r="U29">
        <v>55172</v>
      </c>
      <c r="V29">
        <v>1.544</v>
      </c>
      <c r="W29">
        <v>21.309000000000001</v>
      </c>
      <c r="X29" t="s">
        <v>62</v>
      </c>
      <c r="Y29" t="s">
        <v>62</v>
      </c>
      <c r="Z29" t="s">
        <v>62</v>
      </c>
    </row>
    <row r="30" spans="1:26" x14ac:dyDescent="0.25">
      <c r="A30">
        <v>1980</v>
      </c>
      <c r="B30" t="s">
        <v>63</v>
      </c>
      <c r="C30">
        <v>861</v>
      </c>
      <c r="D30">
        <v>59731</v>
      </c>
      <c r="E30">
        <v>3945612</v>
      </c>
      <c r="F30">
        <v>3897097</v>
      </c>
      <c r="G30">
        <v>4644</v>
      </c>
      <c r="H30">
        <v>7.8940000000000001</v>
      </c>
      <c r="I30">
        <v>2837</v>
      </c>
      <c r="J30">
        <v>4.8230000000000004</v>
      </c>
      <c r="K30">
        <v>474242</v>
      </c>
      <c r="L30">
        <v>159492</v>
      </c>
      <c r="M30">
        <v>314750</v>
      </c>
      <c r="N30">
        <v>4.093</v>
      </c>
      <c r="O30">
        <v>12.169</v>
      </c>
      <c r="P30">
        <v>378898</v>
      </c>
      <c r="Q30">
        <v>87779</v>
      </c>
      <c r="R30">
        <v>291119</v>
      </c>
      <c r="S30">
        <v>2.2519999999999998</v>
      </c>
      <c r="T30">
        <v>9.7230000000000008</v>
      </c>
      <c r="U30">
        <v>95344</v>
      </c>
      <c r="V30">
        <v>2.4470000000000001</v>
      </c>
      <c r="W30">
        <v>19.445</v>
      </c>
      <c r="X30">
        <v>0</v>
      </c>
      <c r="Y30">
        <v>0</v>
      </c>
      <c r="Z30">
        <v>0</v>
      </c>
    </row>
    <row r="31" spans="1:26" x14ac:dyDescent="0.25">
      <c r="A31">
        <v>1980</v>
      </c>
      <c r="B31" t="s">
        <v>64</v>
      </c>
      <c r="C31">
        <v>813</v>
      </c>
      <c r="D31">
        <v>244348</v>
      </c>
      <c r="E31">
        <v>19216427</v>
      </c>
      <c r="F31">
        <v>19252093</v>
      </c>
      <c r="G31">
        <v>15623</v>
      </c>
      <c r="H31">
        <v>6.4020000000000001</v>
      </c>
      <c r="I31">
        <v>15004</v>
      </c>
      <c r="J31">
        <v>6.1479999999999997</v>
      </c>
      <c r="K31">
        <v>2113971</v>
      </c>
      <c r="L31">
        <v>511683</v>
      </c>
      <c r="M31">
        <v>1602288</v>
      </c>
      <c r="N31">
        <v>2.6579999999999999</v>
      </c>
      <c r="O31">
        <v>10.98</v>
      </c>
      <c r="P31">
        <v>2186083</v>
      </c>
      <c r="Q31">
        <v>465150</v>
      </c>
      <c r="R31">
        <v>1720933</v>
      </c>
      <c r="S31">
        <v>2.4159999999999999</v>
      </c>
      <c r="T31">
        <v>11.355</v>
      </c>
      <c r="U31">
        <v>-72112</v>
      </c>
      <c r="V31">
        <v>-0.375</v>
      </c>
      <c r="W31">
        <v>21.960999999999999</v>
      </c>
      <c r="X31">
        <v>0</v>
      </c>
      <c r="Y31">
        <v>0</v>
      </c>
      <c r="Z31">
        <v>0</v>
      </c>
    </row>
    <row r="32" spans="1:26" x14ac:dyDescent="0.25">
      <c r="A32">
        <v>1981</v>
      </c>
      <c r="B32" t="s">
        <v>54</v>
      </c>
      <c r="C32">
        <v>2226733</v>
      </c>
      <c r="D32">
        <v>2234541</v>
      </c>
      <c r="E32">
        <v>5274114</v>
      </c>
      <c r="F32">
        <v>5231300</v>
      </c>
      <c r="G32">
        <v>445777</v>
      </c>
      <c r="H32">
        <v>20.05</v>
      </c>
      <c r="I32">
        <v>423403</v>
      </c>
      <c r="J32">
        <v>19.042999999999999</v>
      </c>
      <c r="K32">
        <v>1783086</v>
      </c>
      <c r="L32">
        <v>1174257</v>
      </c>
      <c r="M32">
        <v>608829</v>
      </c>
      <c r="N32">
        <v>22.446999999999999</v>
      </c>
      <c r="O32">
        <v>34.085000000000001</v>
      </c>
      <c r="P32">
        <v>1697667</v>
      </c>
      <c r="Q32">
        <v>1048413</v>
      </c>
      <c r="R32">
        <v>649254</v>
      </c>
      <c r="S32">
        <v>20.041</v>
      </c>
      <c r="T32">
        <v>32.451999999999998</v>
      </c>
      <c r="U32">
        <v>85419</v>
      </c>
      <c r="V32">
        <v>1.633</v>
      </c>
      <c r="W32">
        <v>64.903999999999996</v>
      </c>
      <c r="X32">
        <v>336761</v>
      </c>
      <c r="Y32">
        <v>338438</v>
      </c>
      <c r="Z32">
        <v>854007</v>
      </c>
    </row>
    <row r="33" spans="1:26" x14ac:dyDescent="0.25">
      <c r="A33">
        <v>1981</v>
      </c>
      <c r="B33" t="s">
        <v>55</v>
      </c>
      <c r="C33">
        <v>718527</v>
      </c>
      <c r="D33">
        <v>739151</v>
      </c>
      <c r="E33">
        <v>5107860</v>
      </c>
      <c r="F33">
        <v>5063662</v>
      </c>
      <c r="G33">
        <v>39177</v>
      </c>
      <c r="H33">
        <v>5.3250000000000002</v>
      </c>
      <c r="I33">
        <v>32414</v>
      </c>
      <c r="J33">
        <v>4.4050000000000002</v>
      </c>
      <c r="K33">
        <v>1165478</v>
      </c>
      <c r="L33">
        <v>487196</v>
      </c>
      <c r="M33">
        <v>678282</v>
      </c>
      <c r="N33">
        <v>9.6210000000000004</v>
      </c>
      <c r="O33">
        <v>23.016999999999999</v>
      </c>
      <c r="P33">
        <v>1077722</v>
      </c>
      <c r="Q33">
        <v>392510</v>
      </c>
      <c r="R33">
        <v>685212</v>
      </c>
      <c r="S33">
        <v>7.7519999999999998</v>
      </c>
      <c r="T33">
        <v>21.283000000000001</v>
      </c>
      <c r="U33">
        <v>87756</v>
      </c>
      <c r="V33">
        <v>1.7330000000000001</v>
      </c>
      <c r="W33">
        <v>42.567</v>
      </c>
      <c r="X33">
        <v>24773</v>
      </c>
      <c r="Y33">
        <v>26133</v>
      </c>
      <c r="Z33">
        <v>328196</v>
      </c>
    </row>
    <row r="34" spans="1:26" x14ac:dyDescent="0.25">
      <c r="A34">
        <v>1981</v>
      </c>
      <c r="B34" t="s">
        <v>56</v>
      </c>
      <c r="C34">
        <v>426246</v>
      </c>
      <c r="D34">
        <v>465308</v>
      </c>
      <c r="E34">
        <v>6026105</v>
      </c>
      <c r="F34">
        <v>5979927</v>
      </c>
      <c r="G34">
        <v>18794</v>
      </c>
      <c r="H34">
        <v>4.0549999999999997</v>
      </c>
      <c r="I34">
        <v>15077</v>
      </c>
      <c r="J34">
        <v>3.2530000000000001</v>
      </c>
      <c r="K34">
        <v>1174339</v>
      </c>
      <c r="L34">
        <v>423075</v>
      </c>
      <c r="M34">
        <v>751264</v>
      </c>
      <c r="N34">
        <v>7.0750000000000002</v>
      </c>
      <c r="O34">
        <v>19.638000000000002</v>
      </c>
      <c r="P34">
        <v>1081121</v>
      </c>
      <c r="Q34">
        <v>329929</v>
      </c>
      <c r="R34">
        <v>751192</v>
      </c>
      <c r="S34">
        <v>5.5170000000000003</v>
      </c>
      <c r="T34">
        <v>18.079000000000001</v>
      </c>
      <c r="U34">
        <v>93218</v>
      </c>
      <c r="V34">
        <v>1.5589999999999999</v>
      </c>
      <c r="W34">
        <v>36.158000000000001</v>
      </c>
      <c r="X34">
        <v>10216</v>
      </c>
      <c r="Y34">
        <v>11256</v>
      </c>
      <c r="Z34">
        <v>274234</v>
      </c>
    </row>
    <row r="35" spans="1:26" x14ac:dyDescent="0.25">
      <c r="A35">
        <v>1981</v>
      </c>
      <c r="B35" t="s">
        <v>57</v>
      </c>
      <c r="C35">
        <v>342912</v>
      </c>
      <c r="D35">
        <v>471728</v>
      </c>
      <c r="E35">
        <v>13737076</v>
      </c>
      <c r="F35">
        <v>13623798</v>
      </c>
      <c r="G35">
        <v>23352</v>
      </c>
      <c r="H35">
        <v>4.9930000000000003</v>
      </c>
      <c r="I35">
        <v>15202</v>
      </c>
      <c r="J35">
        <v>3.2509999999999999</v>
      </c>
      <c r="K35">
        <v>2336576</v>
      </c>
      <c r="L35">
        <v>747205</v>
      </c>
      <c r="M35">
        <v>1589371</v>
      </c>
      <c r="N35">
        <v>5.4850000000000003</v>
      </c>
      <c r="O35">
        <v>17.151</v>
      </c>
      <c r="P35">
        <v>2107738</v>
      </c>
      <c r="Q35">
        <v>525330</v>
      </c>
      <c r="R35">
        <v>1582408</v>
      </c>
      <c r="S35">
        <v>3.8559999999999999</v>
      </c>
      <c r="T35">
        <v>15.471</v>
      </c>
      <c r="U35">
        <v>228838</v>
      </c>
      <c r="V35">
        <v>1.68</v>
      </c>
      <c r="W35">
        <v>30.942</v>
      </c>
      <c r="X35">
        <v>5282</v>
      </c>
      <c r="Y35">
        <v>6696</v>
      </c>
      <c r="Z35">
        <v>372044</v>
      </c>
    </row>
    <row r="36" spans="1:26" x14ac:dyDescent="0.25">
      <c r="A36">
        <v>1981</v>
      </c>
      <c r="B36" t="s">
        <v>58</v>
      </c>
      <c r="C36">
        <v>52155</v>
      </c>
      <c r="D36">
        <v>189044</v>
      </c>
      <c r="E36">
        <v>9956869</v>
      </c>
      <c r="F36">
        <v>9895026</v>
      </c>
      <c r="G36">
        <v>15335</v>
      </c>
      <c r="H36">
        <v>8.2420000000000009</v>
      </c>
      <c r="I36">
        <v>9343</v>
      </c>
      <c r="J36">
        <v>5.0220000000000002</v>
      </c>
      <c r="K36">
        <v>1518038</v>
      </c>
      <c r="L36">
        <v>474730</v>
      </c>
      <c r="M36">
        <v>1043308</v>
      </c>
      <c r="N36">
        <v>4.798</v>
      </c>
      <c r="O36">
        <v>15.340999999999999</v>
      </c>
      <c r="P36">
        <v>1391853</v>
      </c>
      <c r="Q36">
        <v>309671</v>
      </c>
      <c r="R36">
        <v>1082182</v>
      </c>
      <c r="S36">
        <v>3.13</v>
      </c>
      <c r="T36">
        <v>14.066000000000001</v>
      </c>
      <c r="U36">
        <v>126185</v>
      </c>
      <c r="V36">
        <v>1.2749999999999999</v>
      </c>
      <c r="W36">
        <v>28.132000000000001</v>
      </c>
      <c r="X36">
        <v>338</v>
      </c>
      <c r="Y36">
        <v>891</v>
      </c>
      <c r="Z36">
        <v>113729</v>
      </c>
    </row>
    <row r="37" spans="1:26" x14ac:dyDescent="0.25">
      <c r="A37">
        <v>1981</v>
      </c>
      <c r="B37" t="s">
        <v>59</v>
      </c>
      <c r="C37">
        <v>6019</v>
      </c>
      <c r="D37">
        <v>58113</v>
      </c>
      <c r="E37">
        <v>3633304</v>
      </c>
      <c r="F37">
        <v>3598153</v>
      </c>
      <c r="G37">
        <v>5588</v>
      </c>
      <c r="H37">
        <v>9.8460000000000001</v>
      </c>
      <c r="I37">
        <v>2873</v>
      </c>
      <c r="J37">
        <v>5.0620000000000003</v>
      </c>
      <c r="K37">
        <v>517898</v>
      </c>
      <c r="L37">
        <v>168532</v>
      </c>
      <c r="M37">
        <v>349366</v>
      </c>
      <c r="N37">
        <v>4.6840000000000002</v>
      </c>
      <c r="O37">
        <v>14.393000000000001</v>
      </c>
      <c r="P37">
        <v>445113</v>
      </c>
      <c r="Q37">
        <v>105486</v>
      </c>
      <c r="R37">
        <v>339627</v>
      </c>
      <c r="S37">
        <v>2.9319999999999999</v>
      </c>
      <c r="T37">
        <v>12.371</v>
      </c>
      <c r="U37">
        <v>72785</v>
      </c>
      <c r="V37">
        <v>2.0230000000000001</v>
      </c>
      <c r="W37">
        <v>24.741</v>
      </c>
      <c r="X37">
        <v>13</v>
      </c>
      <c r="Y37">
        <v>240</v>
      </c>
      <c r="Z37">
        <v>18457</v>
      </c>
    </row>
    <row r="38" spans="1:26" x14ac:dyDescent="0.25">
      <c r="A38">
        <v>1981</v>
      </c>
      <c r="B38" t="s">
        <v>60</v>
      </c>
      <c r="C38">
        <v>3899</v>
      </c>
      <c r="D38">
        <v>72861</v>
      </c>
      <c r="E38">
        <v>4927094</v>
      </c>
      <c r="F38">
        <v>4894138</v>
      </c>
      <c r="G38">
        <v>6961</v>
      </c>
      <c r="H38">
        <v>9.7680000000000007</v>
      </c>
      <c r="I38">
        <v>3770</v>
      </c>
      <c r="J38">
        <v>5.29</v>
      </c>
      <c r="K38">
        <v>600476</v>
      </c>
      <c r="L38">
        <v>196763</v>
      </c>
      <c r="M38">
        <v>403713</v>
      </c>
      <c r="N38">
        <v>4.0199999999999996</v>
      </c>
      <c r="O38">
        <v>12.269</v>
      </c>
      <c r="P38">
        <v>535213</v>
      </c>
      <c r="Q38">
        <v>136783</v>
      </c>
      <c r="R38">
        <v>398430</v>
      </c>
      <c r="S38">
        <v>2.7949999999999999</v>
      </c>
      <c r="T38">
        <v>10.936</v>
      </c>
      <c r="U38">
        <v>65263</v>
      </c>
      <c r="V38">
        <v>1.333</v>
      </c>
      <c r="W38">
        <v>21.872</v>
      </c>
      <c r="X38">
        <v>8</v>
      </c>
      <c r="Y38">
        <v>25</v>
      </c>
      <c r="Z38">
        <v>26597</v>
      </c>
    </row>
    <row r="39" spans="1:26" x14ac:dyDescent="0.25">
      <c r="A39">
        <v>1981</v>
      </c>
      <c r="B39" t="s">
        <v>61</v>
      </c>
      <c r="C39">
        <v>1518</v>
      </c>
      <c r="D39">
        <v>62152</v>
      </c>
      <c r="E39">
        <v>3722264</v>
      </c>
      <c r="F39">
        <v>3709375</v>
      </c>
      <c r="G39">
        <v>6202</v>
      </c>
      <c r="H39">
        <v>10.27</v>
      </c>
      <c r="I39">
        <v>2679</v>
      </c>
      <c r="J39">
        <v>4.4359999999999999</v>
      </c>
      <c r="K39">
        <v>431331</v>
      </c>
      <c r="L39">
        <v>145177</v>
      </c>
      <c r="M39">
        <v>286154</v>
      </c>
      <c r="N39">
        <v>3.9140000000000001</v>
      </c>
      <c r="O39">
        <v>11.628</v>
      </c>
      <c r="P39">
        <v>403835</v>
      </c>
      <c r="Q39">
        <v>79717</v>
      </c>
      <c r="R39">
        <v>324118</v>
      </c>
      <c r="S39">
        <v>2.149</v>
      </c>
      <c r="T39">
        <v>10.887</v>
      </c>
      <c r="U39">
        <v>27496</v>
      </c>
      <c r="V39">
        <v>0.74099999999999999</v>
      </c>
      <c r="W39">
        <v>21.774000000000001</v>
      </c>
      <c r="X39">
        <v>0</v>
      </c>
      <c r="Y39">
        <v>0</v>
      </c>
      <c r="Z39">
        <v>0</v>
      </c>
    </row>
    <row r="40" spans="1:26" x14ac:dyDescent="0.25">
      <c r="A40">
        <v>1981</v>
      </c>
      <c r="B40" t="s">
        <v>63</v>
      </c>
      <c r="C40">
        <v>915</v>
      </c>
      <c r="D40">
        <v>63900</v>
      </c>
      <c r="E40">
        <v>3875540</v>
      </c>
      <c r="F40">
        <v>3848382</v>
      </c>
      <c r="G40">
        <v>5820</v>
      </c>
      <c r="H40">
        <v>9.3130000000000006</v>
      </c>
      <c r="I40">
        <v>3012</v>
      </c>
      <c r="J40">
        <v>4.82</v>
      </c>
      <c r="K40">
        <v>449086</v>
      </c>
      <c r="L40">
        <v>142802</v>
      </c>
      <c r="M40">
        <v>306284</v>
      </c>
      <c r="N40">
        <v>3.7109999999999999</v>
      </c>
      <c r="O40">
        <v>11.669</v>
      </c>
      <c r="P40">
        <v>394215</v>
      </c>
      <c r="Q40">
        <v>85973</v>
      </c>
      <c r="R40">
        <v>308242</v>
      </c>
      <c r="S40">
        <v>2.234</v>
      </c>
      <c r="T40">
        <v>10.244</v>
      </c>
      <c r="U40">
        <v>54871</v>
      </c>
      <c r="V40">
        <v>1.4259999999999999</v>
      </c>
      <c r="W40">
        <v>20.486999999999998</v>
      </c>
      <c r="X40" t="s">
        <v>62</v>
      </c>
      <c r="Y40" t="s">
        <v>62</v>
      </c>
      <c r="Z40" t="s">
        <v>62</v>
      </c>
    </row>
    <row r="41" spans="1:26" x14ac:dyDescent="0.25">
      <c r="A41">
        <v>1981</v>
      </c>
      <c r="B41" t="s">
        <v>64</v>
      </c>
      <c r="C41">
        <v>890</v>
      </c>
      <c r="D41">
        <v>254818</v>
      </c>
      <c r="E41">
        <v>19528488</v>
      </c>
      <c r="F41">
        <v>19573617</v>
      </c>
      <c r="G41">
        <v>19113</v>
      </c>
      <c r="H41">
        <v>7.5570000000000004</v>
      </c>
      <c r="I41">
        <v>15303</v>
      </c>
      <c r="J41">
        <v>6.0510000000000002</v>
      </c>
      <c r="K41">
        <v>2169828</v>
      </c>
      <c r="L41">
        <v>619906</v>
      </c>
      <c r="M41">
        <v>1549922</v>
      </c>
      <c r="N41">
        <v>3.1669999999999998</v>
      </c>
      <c r="O41">
        <v>11.085000000000001</v>
      </c>
      <c r="P41">
        <v>2261515</v>
      </c>
      <c r="Q41">
        <v>478497</v>
      </c>
      <c r="R41">
        <v>1783018</v>
      </c>
      <c r="S41">
        <v>2.4449999999999998</v>
      </c>
      <c r="T41">
        <v>11.554</v>
      </c>
      <c r="U41">
        <v>-91687</v>
      </c>
      <c r="V41">
        <v>-0.46800000000000003</v>
      </c>
      <c r="W41">
        <v>22.170999999999999</v>
      </c>
      <c r="X41">
        <v>0</v>
      </c>
      <c r="Y41">
        <v>0</v>
      </c>
      <c r="Z41">
        <v>0</v>
      </c>
    </row>
    <row r="42" spans="1:26" x14ac:dyDescent="0.25">
      <c r="A42">
        <v>1982</v>
      </c>
      <c r="B42" t="s">
        <v>54</v>
      </c>
      <c r="C42">
        <v>2207384</v>
      </c>
      <c r="D42">
        <v>2216067</v>
      </c>
      <c r="E42">
        <v>5265300</v>
      </c>
      <c r="F42">
        <v>5264210</v>
      </c>
      <c r="G42">
        <v>438848</v>
      </c>
      <c r="H42">
        <v>19.734999999999999</v>
      </c>
      <c r="I42">
        <v>454034</v>
      </c>
      <c r="J42">
        <v>20.417999999999999</v>
      </c>
      <c r="K42">
        <v>1797008</v>
      </c>
      <c r="L42">
        <v>1145127</v>
      </c>
      <c r="M42">
        <v>651881</v>
      </c>
      <c r="N42">
        <v>21.753</v>
      </c>
      <c r="O42">
        <v>34.136000000000003</v>
      </c>
      <c r="P42">
        <v>1793074</v>
      </c>
      <c r="Q42">
        <v>1137291</v>
      </c>
      <c r="R42">
        <v>655783</v>
      </c>
      <c r="S42">
        <v>21.603999999999999</v>
      </c>
      <c r="T42">
        <v>34.061999999999998</v>
      </c>
      <c r="U42">
        <v>3934</v>
      </c>
      <c r="V42">
        <v>7.4999999999999997E-2</v>
      </c>
      <c r="W42">
        <v>68.123000000000005</v>
      </c>
      <c r="X42">
        <v>360859</v>
      </c>
      <c r="Y42">
        <v>362370</v>
      </c>
      <c r="Z42">
        <v>931822</v>
      </c>
    </row>
    <row r="43" spans="1:26" x14ac:dyDescent="0.25">
      <c r="A43">
        <v>1982</v>
      </c>
      <c r="B43" t="s">
        <v>55</v>
      </c>
      <c r="C43">
        <v>720275</v>
      </c>
      <c r="D43">
        <v>740966</v>
      </c>
      <c r="E43">
        <v>5062419</v>
      </c>
      <c r="F43">
        <v>5088951</v>
      </c>
      <c r="G43">
        <v>39504</v>
      </c>
      <c r="H43">
        <v>5.34</v>
      </c>
      <c r="I43">
        <v>37138</v>
      </c>
      <c r="J43">
        <v>5.0199999999999996</v>
      </c>
      <c r="K43">
        <v>1121572</v>
      </c>
      <c r="L43">
        <v>448284</v>
      </c>
      <c r="M43">
        <v>673288</v>
      </c>
      <c r="N43">
        <v>8.8089999999999993</v>
      </c>
      <c r="O43">
        <v>22.039000000000001</v>
      </c>
      <c r="P43">
        <v>1173781</v>
      </c>
      <c r="Q43">
        <v>432969</v>
      </c>
      <c r="R43">
        <v>740812</v>
      </c>
      <c r="S43">
        <v>8.5079999999999991</v>
      </c>
      <c r="T43">
        <v>23.065000000000001</v>
      </c>
      <c r="U43">
        <v>-52209</v>
      </c>
      <c r="V43">
        <v>-1.026</v>
      </c>
      <c r="W43">
        <v>44.079000000000001</v>
      </c>
      <c r="X43">
        <v>27521</v>
      </c>
      <c r="Y43">
        <v>28648</v>
      </c>
      <c r="Z43">
        <v>365836</v>
      </c>
    </row>
    <row r="44" spans="1:26" x14ac:dyDescent="0.25">
      <c r="A44">
        <v>1982</v>
      </c>
      <c r="B44" t="s">
        <v>56</v>
      </c>
      <c r="C44">
        <v>424707</v>
      </c>
      <c r="D44">
        <v>463378</v>
      </c>
      <c r="E44">
        <v>5923288</v>
      </c>
      <c r="F44">
        <v>5957803</v>
      </c>
      <c r="G44">
        <v>20250</v>
      </c>
      <c r="H44">
        <v>4.3730000000000002</v>
      </c>
      <c r="I44">
        <v>19700</v>
      </c>
      <c r="J44">
        <v>4.2539999999999996</v>
      </c>
      <c r="K44">
        <v>1137391</v>
      </c>
      <c r="L44">
        <v>393984</v>
      </c>
      <c r="M44">
        <v>743407</v>
      </c>
      <c r="N44">
        <v>6.6130000000000004</v>
      </c>
      <c r="O44">
        <v>19.091000000000001</v>
      </c>
      <c r="P44">
        <v>1205328</v>
      </c>
      <c r="Q44">
        <v>376379</v>
      </c>
      <c r="R44">
        <v>828949</v>
      </c>
      <c r="S44">
        <v>6.3170000000000002</v>
      </c>
      <c r="T44">
        <v>20.231000000000002</v>
      </c>
      <c r="U44">
        <v>-67937</v>
      </c>
      <c r="V44">
        <v>-1.1399999999999999</v>
      </c>
      <c r="W44">
        <v>38.182000000000002</v>
      </c>
      <c r="X44">
        <v>11501</v>
      </c>
      <c r="Y44">
        <v>12601</v>
      </c>
      <c r="Z44">
        <v>308958</v>
      </c>
    </row>
    <row r="45" spans="1:26" x14ac:dyDescent="0.25">
      <c r="A45">
        <v>1982</v>
      </c>
      <c r="B45" t="s">
        <v>57</v>
      </c>
      <c r="C45">
        <v>339861</v>
      </c>
      <c r="D45">
        <v>470962</v>
      </c>
      <c r="E45">
        <v>13514777</v>
      </c>
      <c r="F45">
        <v>13548261</v>
      </c>
      <c r="G45">
        <v>20157</v>
      </c>
      <c r="H45">
        <v>4.2889999999999997</v>
      </c>
      <c r="I45">
        <v>18113</v>
      </c>
      <c r="J45">
        <v>3.8540000000000001</v>
      </c>
      <c r="K45">
        <v>2292522</v>
      </c>
      <c r="L45">
        <v>651911</v>
      </c>
      <c r="M45">
        <v>1640611</v>
      </c>
      <c r="N45">
        <v>4.8120000000000003</v>
      </c>
      <c r="O45">
        <v>16.920999999999999</v>
      </c>
      <c r="P45">
        <v>2361020</v>
      </c>
      <c r="Q45">
        <v>589007</v>
      </c>
      <c r="R45">
        <v>1772013</v>
      </c>
      <c r="S45">
        <v>4.3470000000000004</v>
      </c>
      <c r="T45">
        <v>17.427</v>
      </c>
      <c r="U45">
        <v>-68498</v>
      </c>
      <c r="V45">
        <v>-0.50600000000000001</v>
      </c>
      <c r="W45">
        <v>33.841999999999999</v>
      </c>
      <c r="X45">
        <v>6179</v>
      </c>
      <c r="Y45">
        <v>7722</v>
      </c>
      <c r="Z45">
        <v>439731</v>
      </c>
    </row>
    <row r="46" spans="1:26" x14ac:dyDescent="0.25">
      <c r="A46">
        <v>1982</v>
      </c>
      <c r="B46" t="s">
        <v>58</v>
      </c>
      <c r="C46">
        <v>52246</v>
      </c>
      <c r="D46">
        <v>195479</v>
      </c>
      <c r="E46">
        <v>10007151</v>
      </c>
      <c r="F46">
        <v>9972403</v>
      </c>
      <c r="G46">
        <v>12675</v>
      </c>
      <c r="H46">
        <v>6.5590000000000002</v>
      </c>
      <c r="I46">
        <v>8206</v>
      </c>
      <c r="J46">
        <v>4.2460000000000004</v>
      </c>
      <c r="K46">
        <v>1551526</v>
      </c>
      <c r="L46">
        <v>413010</v>
      </c>
      <c r="M46">
        <v>1138516</v>
      </c>
      <c r="N46">
        <v>4.1420000000000003</v>
      </c>
      <c r="O46">
        <v>15.558</v>
      </c>
      <c r="P46">
        <v>1484118</v>
      </c>
      <c r="Q46">
        <v>301170</v>
      </c>
      <c r="R46">
        <v>1182948</v>
      </c>
      <c r="S46">
        <v>3.02</v>
      </c>
      <c r="T46">
        <v>14.882</v>
      </c>
      <c r="U46">
        <v>67408</v>
      </c>
      <c r="V46">
        <v>0.67600000000000005</v>
      </c>
      <c r="W46">
        <v>29.765000000000001</v>
      </c>
      <c r="X46">
        <v>413</v>
      </c>
      <c r="Y46">
        <v>1025</v>
      </c>
      <c r="Z46">
        <v>134737</v>
      </c>
    </row>
    <row r="47" spans="1:26" x14ac:dyDescent="0.25">
      <c r="A47">
        <v>1982</v>
      </c>
      <c r="B47" t="s">
        <v>59</v>
      </c>
      <c r="C47">
        <v>5893</v>
      </c>
      <c r="D47">
        <v>61094</v>
      </c>
      <c r="E47">
        <v>3588475</v>
      </c>
      <c r="F47">
        <v>3571728</v>
      </c>
      <c r="G47">
        <v>4502</v>
      </c>
      <c r="H47">
        <v>7.468</v>
      </c>
      <c r="I47">
        <v>2877</v>
      </c>
      <c r="J47">
        <v>4.7729999999999997</v>
      </c>
      <c r="K47">
        <v>463535</v>
      </c>
      <c r="L47">
        <v>110341</v>
      </c>
      <c r="M47">
        <v>353194</v>
      </c>
      <c r="N47">
        <v>3.089</v>
      </c>
      <c r="O47">
        <v>12.978</v>
      </c>
      <c r="P47">
        <v>429426</v>
      </c>
      <c r="Q47">
        <v>88196</v>
      </c>
      <c r="R47">
        <v>341230</v>
      </c>
      <c r="S47">
        <v>2.4689999999999999</v>
      </c>
      <c r="T47">
        <v>12.023</v>
      </c>
      <c r="U47">
        <v>34109</v>
      </c>
      <c r="V47">
        <v>0.95499999999999996</v>
      </c>
      <c r="W47">
        <v>24.045999999999999</v>
      </c>
      <c r="X47">
        <v>13</v>
      </c>
      <c r="Y47">
        <v>62</v>
      </c>
      <c r="Z47">
        <v>17910</v>
      </c>
    </row>
    <row r="48" spans="1:26" x14ac:dyDescent="0.25">
      <c r="A48">
        <v>1982</v>
      </c>
      <c r="B48" t="s">
        <v>60</v>
      </c>
      <c r="C48">
        <v>3961</v>
      </c>
      <c r="D48">
        <v>76737</v>
      </c>
      <c r="E48">
        <v>5084015</v>
      </c>
      <c r="F48">
        <v>5045912</v>
      </c>
      <c r="G48">
        <v>6008</v>
      </c>
      <c r="H48">
        <v>7.9160000000000004</v>
      </c>
      <c r="I48">
        <v>4321</v>
      </c>
      <c r="J48">
        <v>5.694</v>
      </c>
      <c r="K48">
        <v>597093</v>
      </c>
      <c r="L48">
        <v>176887</v>
      </c>
      <c r="M48">
        <v>420206</v>
      </c>
      <c r="N48">
        <v>3.5059999999999998</v>
      </c>
      <c r="O48">
        <v>11.833</v>
      </c>
      <c r="P48">
        <v>519068</v>
      </c>
      <c r="Q48">
        <v>121628</v>
      </c>
      <c r="R48">
        <v>397440</v>
      </c>
      <c r="S48">
        <v>2.41</v>
      </c>
      <c r="T48">
        <v>10.287000000000001</v>
      </c>
      <c r="U48">
        <v>78025</v>
      </c>
      <c r="V48">
        <v>1.546</v>
      </c>
      <c r="W48">
        <v>20.574000000000002</v>
      </c>
      <c r="X48">
        <v>7</v>
      </c>
      <c r="Y48">
        <v>8</v>
      </c>
      <c r="Z48">
        <v>22954</v>
      </c>
    </row>
    <row r="49" spans="1:26" x14ac:dyDescent="0.25">
      <c r="A49">
        <v>1982</v>
      </c>
      <c r="B49" t="s">
        <v>61</v>
      </c>
      <c r="C49">
        <v>1499</v>
      </c>
      <c r="D49">
        <v>59914</v>
      </c>
      <c r="E49">
        <v>3685785</v>
      </c>
      <c r="F49">
        <v>3683605</v>
      </c>
      <c r="G49">
        <v>4764</v>
      </c>
      <c r="H49">
        <v>8.06</v>
      </c>
      <c r="I49">
        <v>3148</v>
      </c>
      <c r="J49">
        <v>5.3259999999999996</v>
      </c>
      <c r="K49">
        <v>435168</v>
      </c>
      <c r="L49">
        <v>135689</v>
      </c>
      <c r="M49">
        <v>299479</v>
      </c>
      <c r="N49">
        <v>3.6840000000000002</v>
      </c>
      <c r="O49">
        <v>11.814</v>
      </c>
      <c r="P49">
        <v>427155</v>
      </c>
      <c r="Q49">
        <v>101409</v>
      </c>
      <c r="R49">
        <v>325746</v>
      </c>
      <c r="S49">
        <v>2.7530000000000001</v>
      </c>
      <c r="T49">
        <v>11.596</v>
      </c>
      <c r="U49">
        <v>8013</v>
      </c>
      <c r="V49">
        <v>0.218</v>
      </c>
      <c r="W49">
        <v>23.192</v>
      </c>
      <c r="X49">
        <v>0</v>
      </c>
      <c r="Y49">
        <v>0</v>
      </c>
      <c r="Z49">
        <v>0</v>
      </c>
    </row>
    <row r="50" spans="1:26" x14ac:dyDescent="0.25">
      <c r="A50">
        <v>1982</v>
      </c>
      <c r="B50" t="s">
        <v>63</v>
      </c>
      <c r="C50">
        <v>913</v>
      </c>
      <c r="D50">
        <v>69173</v>
      </c>
      <c r="E50">
        <v>3994587</v>
      </c>
      <c r="F50">
        <v>4005582</v>
      </c>
      <c r="G50">
        <v>5876</v>
      </c>
      <c r="H50">
        <v>8.5850000000000009</v>
      </c>
      <c r="I50">
        <v>4422</v>
      </c>
      <c r="J50">
        <v>6.4610000000000003</v>
      </c>
      <c r="K50">
        <v>471243</v>
      </c>
      <c r="L50">
        <v>163918</v>
      </c>
      <c r="M50">
        <v>307325</v>
      </c>
      <c r="N50">
        <v>4.0919999999999996</v>
      </c>
      <c r="O50">
        <v>11.765000000000001</v>
      </c>
      <c r="P50">
        <v>494204</v>
      </c>
      <c r="Q50">
        <v>128551</v>
      </c>
      <c r="R50">
        <v>365653</v>
      </c>
      <c r="S50">
        <v>3.2090000000000001</v>
      </c>
      <c r="T50">
        <v>12.337999999999999</v>
      </c>
      <c r="U50">
        <v>-22961</v>
      </c>
      <c r="V50">
        <v>-0.57299999999999995</v>
      </c>
      <c r="W50">
        <v>23.529</v>
      </c>
      <c r="X50">
        <v>0</v>
      </c>
      <c r="Y50">
        <v>0</v>
      </c>
      <c r="Z50">
        <v>0</v>
      </c>
    </row>
    <row r="51" spans="1:26" x14ac:dyDescent="0.25">
      <c r="A51">
        <v>1982</v>
      </c>
      <c r="B51" t="s">
        <v>64</v>
      </c>
      <c r="C51">
        <v>968</v>
      </c>
      <c r="D51">
        <v>263289</v>
      </c>
      <c r="E51">
        <v>18848042</v>
      </c>
      <c r="F51">
        <v>19192208</v>
      </c>
      <c r="G51">
        <v>22647</v>
      </c>
      <c r="H51">
        <v>8.6549999999999994</v>
      </c>
      <c r="I51">
        <v>19412</v>
      </c>
      <c r="J51">
        <v>7.4180000000000001</v>
      </c>
      <c r="K51">
        <v>1989664</v>
      </c>
      <c r="L51">
        <v>585613</v>
      </c>
      <c r="M51">
        <v>1404051</v>
      </c>
      <c r="N51">
        <v>3.0510000000000002</v>
      </c>
      <c r="O51">
        <v>10.367000000000001</v>
      </c>
      <c r="P51">
        <v>2670921</v>
      </c>
      <c r="Q51">
        <v>580853</v>
      </c>
      <c r="R51">
        <v>2090068</v>
      </c>
      <c r="S51">
        <v>3.0270000000000001</v>
      </c>
      <c r="T51">
        <v>13.917</v>
      </c>
      <c r="U51">
        <v>-681257</v>
      </c>
      <c r="V51">
        <v>-3.55</v>
      </c>
      <c r="W51">
        <v>20.734000000000002</v>
      </c>
      <c r="X51">
        <v>0</v>
      </c>
      <c r="Y51">
        <v>0</v>
      </c>
      <c r="Z51">
        <v>0</v>
      </c>
    </row>
    <row r="52" spans="1:26" x14ac:dyDescent="0.25">
      <c r="A52">
        <v>1983</v>
      </c>
      <c r="B52" t="s">
        <v>54</v>
      </c>
      <c r="C52">
        <v>2286679</v>
      </c>
      <c r="D52">
        <v>2295150</v>
      </c>
      <c r="E52">
        <v>5451447</v>
      </c>
      <c r="F52">
        <v>5327641</v>
      </c>
      <c r="G52">
        <v>490140</v>
      </c>
      <c r="H52">
        <v>21.771999999999998</v>
      </c>
      <c r="I52">
        <v>402272</v>
      </c>
      <c r="J52">
        <v>17.869</v>
      </c>
      <c r="K52">
        <v>1876836</v>
      </c>
      <c r="L52">
        <v>1267449</v>
      </c>
      <c r="M52">
        <v>609387</v>
      </c>
      <c r="N52">
        <v>23.79</v>
      </c>
      <c r="O52">
        <v>35.228000000000002</v>
      </c>
      <c r="P52">
        <v>1628535</v>
      </c>
      <c r="Q52">
        <v>1019396</v>
      </c>
      <c r="R52">
        <v>609139</v>
      </c>
      <c r="S52">
        <v>19.134</v>
      </c>
      <c r="T52">
        <v>30.568000000000001</v>
      </c>
      <c r="U52">
        <v>248301</v>
      </c>
      <c r="V52">
        <v>4.6609999999999996</v>
      </c>
      <c r="W52">
        <v>61.134999999999998</v>
      </c>
      <c r="X52">
        <v>319519</v>
      </c>
      <c r="Y52">
        <v>321061</v>
      </c>
      <c r="Z52">
        <v>839449</v>
      </c>
    </row>
    <row r="53" spans="1:26" x14ac:dyDescent="0.25">
      <c r="A53">
        <v>1983</v>
      </c>
      <c r="B53" t="s">
        <v>55</v>
      </c>
      <c r="C53">
        <v>731750</v>
      </c>
      <c r="D53">
        <v>752990</v>
      </c>
      <c r="E53">
        <v>5176241</v>
      </c>
      <c r="F53">
        <v>5145770</v>
      </c>
      <c r="G53">
        <v>39689</v>
      </c>
      <c r="H53">
        <v>5.2939999999999996</v>
      </c>
      <c r="I53">
        <v>33066</v>
      </c>
      <c r="J53">
        <v>4.4109999999999996</v>
      </c>
      <c r="K53">
        <v>1122181</v>
      </c>
      <c r="L53">
        <v>467285</v>
      </c>
      <c r="M53">
        <v>654896</v>
      </c>
      <c r="N53">
        <v>9.0809999999999995</v>
      </c>
      <c r="O53">
        <v>21.808</v>
      </c>
      <c r="P53">
        <v>1061906</v>
      </c>
      <c r="Q53">
        <v>399332</v>
      </c>
      <c r="R53">
        <v>662574</v>
      </c>
      <c r="S53">
        <v>7.76</v>
      </c>
      <c r="T53">
        <v>20.635999999999999</v>
      </c>
      <c r="U53">
        <v>60275</v>
      </c>
      <c r="V53">
        <v>1.171</v>
      </c>
      <c r="W53">
        <v>41.273000000000003</v>
      </c>
      <c r="X53">
        <v>25810</v>
      </c>
      <c r="Y53">
        <v>27152</v>
      </c>
      <c r="Z53">
        <v>342420</v>
      </c>
    </row>
    <row r="54" spans="1:26" x14ac:dyDescent="0.25">
      <c r="A54">
        <v>1983</v>
      </c>
      <c r="B54" t="s">
        <v>56</v>
      </c>
      <c r="C54">
        <v>424817</v>
      </c>
      <c r="D54">
        <v>466102</v>
      </c>
      <c r="E54">
        <v>5947701</v>
      </c>
      <c r="F54">
        <v>5950287</v>
      </c>
      <c r="G54">
        <v>19650</v>
      </c>
      <c r="H54">
        <v>4.2249999999999996</v>
      </c>
      <c r="I54">
        <v>17514</v>
      </c>
      <c r="J54">
        <v>3.766</v>
      </c>
      <c r="K54">
        <v>1110240</v>
      </c>
      <c r="L54">
        <v>398774</v>
      </c>
      <c r="M54">
        <v>711466</v>
      </c>
      <c r="N54">
        <v>6.702</v>
      </c>
      <c r="O54">
        <v>18.658999999999999</v>
      </c>
      <c r="P54">
        <v>1115638</v>
      </c>
      <c r="Q54">
        <v>355738</v>
      </c>
      <c r="R54">
        <v>759900</v>
      </c>
      <c r="S54">
        <v>5.9790000000000001</v>
      </c>
      <c r="T54">
        <v>18.748999999999999</v>
      </c>
      <c r="U54">
        <v>-5398</v>
      </c>
      <c r="V54">
        <v>-9.0999999999999998E-2</v>
      </c>
      <c r="W54">
        <v>37.317</v>
      </c>
      <c r="X54">
        <v>11170</v>
      </c>
      <c r="Y54">
        <v>12510</v>
      </c>
      <c r="Z54">
        <v>300038</v>
      </c>
    </row>
    <row r="55" spans="1:26" x14ac:dyDescent="0.25">
      <c r="A55">
        <v>1983</v>
      </c>
      <c r="B55" t="s">
        <v>57</v>
      </c>
      <c r="C55">
        <v>337259</v>
      </c>
      <c r="D55">
        <v>471283</v>
      </c>
      <c r="E55">
        <v>13351367</v>
      </c>
      <c r="F55">
        <v>13394551</v>
      </c>
      <c r="G55">
        <v>22319</v>
      </c>
      <c r="H55">
        <v>4.7450000000000001</v>
      </c>
      <c r="I55">
        <v>20466</v>
      </c>
      <c r="J55">
        <v>4.351</v>
      </c>
      <c r="K55">
        <v>2225464</v>
      </c>
      <c r="L55">
        <v>660013</v>
      </c>
      <c r="M55">
        <v>1565451</v>
      </c>
      <c r="N55">
        <v>4.9269999999999996</v>
      </c>
      <c r="O55">
        <v>16.614999999999998</v>
      </c>
      <c r="P55">
        <v>2308992</v>
      </c>
      <c r="Q55">
        <v>597187</v>
      </c>
      <c r="R55">
        <v>1711805</v>
      </c>
      <c r="S55">
        <v>4.4580000000000002</v>
      </c>
      <c r="T55">
        <v>17.238</v>
      </c>
      <c r="U55">
        <v>-83528</v>
      </c>
      <c r="V55">
        <v>-0.624</v>
      </c>
      <c r="W55">
        <v>33.228999999999999</v>
      </c>
      <c r="X55">
        <v>6086</v>
      </c>
      <c r="Y55">
        <v>8137</v>
      </c>
      <c r="Z55">
        <v>432497</v>
      </c>
    </row>
    <row r="56" spans="1:26" x14ac:dyDescent="0.25">
      <c r="A56">
        <v>1983</v>
      </c>
      <c r="B56" t="s">
        <v>58</v>
      </c>
      <c r="C56">
        <v>51990</v>
      </c>
      <c r="D56">
        <v>195909</v>
      </c>
      <c r="E56">
        <v>9786777</v>
      </c>
      <c r="F56">
        <v>9853370</v>
      </c>
      <c r="G56">
        <v>14311</v>
      </c>
      <c r="H56">
        <v>7.3239999999999998</v>
      </c>
      <c r="I56">
        <v>13280</v>
      </c>
      <c r="J56">
        <v>6.7969999999999997</v>
      </c>
      <c r="K56">
        <v>1537108</v>
      </c>
      <c r="L56">
        <v>438345</v>
      </c>
      <c r="M56">
        <v>1098763</v>
      </c>
      <c r="N56">
        <v>4.4489999999999998</v>
      </c>
      <c r="O56">
        <v>15.6</v>
      </c>
      <c r="P56">
        <v>1669047</v>
      </c>
      <c r="Q56">
        <v>372407</v>
      </c>
      <c r="R56">
        <v>1296640</v>
      </c>
      <c r="S56">
        <v>3.7789999999999999</v>
      </c>
      <c r="T56">
        <v>16.939</v>
      </c>
      <c r="U56">
        <v>-131939</v>
      </c>
      <c r="V56">
        <v>-1.339</v>
      </c>
      <c r="W56">
        <v>31.2</v>
      </c>
      <c r="X56">
        <v>403</v>
      </c>
      <c r="Y56">
        <v>1132</v>
      </c>
      <c r="Z56">
        <v>132456</v>
      </c>
    </row>
    <row r="57" spans="1:26" x14ac:dyDescent="0.25">
      <c r="A57">
        <v>1983</v>
      </c>
      <c r="B57" t="s">
        <v>59</v>
      </c>
      <c r="C57">
        <v>6111</v>
      </c>
      <c r="D57">
        <v>61289</v>
      </c>
      <c r="E57">
        <v>3549454</v>
      </c>
      <c r="F57">
        <v>3581719</v>
      </c>
      <c r="G57">
        <v>4676</v>
      </c>
      <c r="H57">
        <v>7.6529999999999996</v>
      </c>
      <c r="I57">
        <v>4301</v>
      </c>
      <c r="J57">
        <v>7.0389999999999997</v>
      </c>
      <c r="K57">
        <v>477643</v>
      </c>
      <c r="L57">
        <v>129744</v>
      </c>
      <c r="M57">
        <v>347899</v>
      </c>
      <c r="N57">
        <v>3.6219999999999999</v>
      </c>
      <c r="O57">
        <v>13.336</v>
      </c>
      <c r="P57">
        <v>542490</v>
      </c>
      <c r="Q57">
        <v>107584</v>
      </c>
      <c r="R57">
        <v>434906</v>
      </c>
      <c r="S57">
        <v>3.004</v>
      </c>
      <c r="T57">
        <v>15.146000000000001</v>
      </c>
      <c r="U57">
        <v>-64847</v>
      </c>
      <c r="V57">
        <v>-1.81</v>
      </c>
      <c r="W57">
        <v>26.670999999999999</v>
      </c>
      <c r="X57">
        <v>5</v>
      </c>
      <c r="Y57">
        <v>5</v>
      </c>
      <c r="Z57">
        <v>6796</v>
      </c>
    </row>
    <row r="58" spans="1:26" x14ac:dyDescent="0.25">
      <c r="A58">
        <v>1983</v>
      </c>
      <c r="B58" t="s">
        <v>60</v>
      </c>
      <c r="C58">
        <v>4009</v>
      </c>
      <c r="D58">
        <v>75776</v>
      </c>
      <c r="E58">
        <v>4965366</v>
      </c>
      <c r="F58">
        <v>4967397</v>
      </c>
      <c r="G58">
        <v>6375</v>
      </c>
      <c r="H58">
        <v>8.4529999999999994</v>
      </c>
      <c r="I58">
        <v>5654</v>
      </c>
      <c r="J58">
        <v>7.4969999999999999</v>
      </c>
      <c r="K58">
        <v>619144</v>
      </c>
      <c r="L58">
        <v>214901</v>
      </c>
      <c r="M58">
        <v>404243</v>
      </c>
      <c r="N58">
        <v>4.3259999999999996</v>
      </c>
      <c r="O58">
        <v>12.464</v>
      </c>
      <c r="P58">
        <v>623517</v>
      </c>
      <c r="Q58">
        <v>147004</v>
      </c>
      <c r="R58">
        <v>476513</v>
      </c>
      <c r="S58">
        <v>2.9590000000000001</v>
      </c>
      <c r="T58">
        <v>12.552</v>
      </c>
      <c r="U58">
        <v>-4373</v>
      </c>
      <c r="V58">
        <v>-8.7999999999999995E-2</v>
      </c>
      <c r="W58">
        <v>24.928000000000001</v>
      </c>
      <c r="X58">
        <v>5</v>
      </c>
      <c r="Y58">
        <v>6</v>
      </c>
      <c r="Z58">
        <v>16057</v>
      </c>
    </row>
    <row r="59" spans="1:26" x14ac:dyDescent="0.25">
      <c r="A59">
        <v>1983</v>
      </c>
      <c r="B59" t="s">
        <v>61</v>
      </c>
      <c r="C59">
        <v>1589</v>
      </c>
      <c r="D59">
        <v>60496</v>
      </c>
      <c r="E59">
        <v>3628247</v>
      </c>
      <c r="F59">
        <v>3681547</v>
      </c>
      <c r="G59">
        <v>4858</v>
      </c>
      <c r="H59">
        <v>8.09</v>
      </c>
      <c r="I59">
        <v>3962</v>
      </c>
      <c r="J59">
        <v>6.5979999999999999</v>
      </c>
      <c r="K59">
        <v>432423</v>
      </c>
      <c r="L59">
        <v>138949</v>
      </c>
      <c r="M59">
        <v>293474</v>
      </c>
      <c r="N59">
        <v>3.774</v>
      </c>
      <c r="O59">
        <v>11.746</v>
      </c>
      <c r="P59">
        <v>540363</v>
      </c>
      <c r="Q59">
        <v>120621</v>
      </c>
      <c r="R59">
        <v>419742</v>
      </c>
      <c r="S59">
        <v>3.2759999999999998</v>
      </c>
      <c r="T59">
        <v>14.678000000000001</v>
      </c>
      <c r="U59">
        <v>-107940</v>
      </c>
      <c r="V59">
        <v>-2.9319999999999999</v>
      </c>
      <c r="W59">
        <v>23.491</v>
      </c>
      <c r="X59" t="s">
        <v>62</v>
      </c>
      <c r="Y59" t="s">
        <v>62</v>
      </c>
      <c r="Z59" t="s">
        <v>62</v>
      </c>
    </row>
    <row r="60" spans="1:26" x14ac:dyDescent="0.25">
      <c r="A60">
        <v>1983</v>
      </c>
      <c r="B60" t="s">
        <v>63</v>
      </c>
      <c r="C60">
        <v>991</v>
      </c>
      <c r="D60">
        <v>68080</v>
      </c>
      <c r="E60">
        <v>3931966</v>
      </c>
      <c r="F60">
        <v>3978800</v>
      </c>
      <c r="G60">
        <v>5018</v>
      </c>
      <c r="H60">
        <v>7.367</v>
      </c>
      <c r="I60">
        <v>5091</v>
      </c>
      <c r="J60">
        <v>7.4740000000000002</v>
      </c>
      <c r="K60">
        <v>498030</v>
      </c>
      <c r="L60">
        <v>141295</v>
      </c>
      <c r="M60">
        <v>356735</v>
      </c>
      <c r="N60">
        <v>3.5510000000000002</v>
      </c>
      <c r="O60">
        <v>12.516999999999999</v>
      </c>
      <c r="P60">
        <v>589431</v>
      </c>
      <c r="Q60">
        <v>154162</v>
      </c>
      <c r="R60">
        <v>435269</v>
      </c>
      <c r="S60">
        <v>3.875</v>
      </c>
      <c r="T60">
        <v>14.814</v>
      </c>
      <c r="U60">
        <v>-91401</v>
      </c>
      <c r="V60">
        <v>-2.2970000000000002</v>
      </c>
      <c r="W60">
        <v>25.033999999999999</v>
      </c>
      <c r="X60" t="s">
        <v>62</v>
      </c>
      <c r="Y60" t="s">
        <v>62</v>
      </c>
      <c r="Z60" t="s">
        <v>62</v>
      </c>
    </row>
    <row r="61" spans="1:26" x14ac:dyDescent="0.25">
      <c r="A61">
        <v>1983</v>
      </c>
      <c r="B61" t="s">
        <v>64</v>
      </c>
      <c r="C61">
        <v>1082</v>
      </c>
      <c r="D61">
        <v>265824</v>
      </c>
      <c r="E61">
        <v>18252619</v>
      </c>
      <c r="F61">
        <v>18620097</v>
      </c>
      <c r="G61">
        <v>17574</v>
      </c>
      <c r="H61">
        <v>6.5369999999999999</v>
      </c>
      <c r="I61">
        <v>23632</v>
      </c>
      <c r="J61">
        <v>8.7899999999999991</v>
      </c>
      <c r="K61">
        <v>2283351</v>
      </c>
      <c r="L61">
        <v>562467</v>
      </c>
      <c r="M61">
        <v>1720884</v>
      </c>
      <c r="N61">
        <v>3.0209999999999999</v>
      </c>
      <c r="O61">
        <v>12.263</v>
      </c>
      <c r="P61">
        <v>3032584</v>
      </c>
      <c r="Q61">
        <v>834935</v>
      </c>
      <c r="R61">
        <v>2197649</v>
      </c>
      <c r="S61">
        <v>4.484</v>
      </c>
      <c r="T61">
        <v>16.286999999999999</v>
      </c>
      <c r="U61">
        <v>-749233</v>
      </c>
      <c r="V61">
        <v>-4.024</v>
      </c>
      <c r="W61">
        <v>24.526</v>
      </c>
      <c r="X61">
        <v>0</v>
      </c>
      <c r="Y61">
        <v>0</v>
      </c>
      <c r="Z61">
        <v>0</v>
      </c>
    </row>
    <row r="62" spans="1:26" x14ac:dyDescent="0.25">
      <c r="A62">
        <v>1984</v>
      </c>
      <c r="B62" t="s">
        <v>54</v>
      </c>
      <c r="C62">
        <v>2392619</v>
      </c>
      <c r="D62">
        <v>2400928</v>
      </c>
      <c r="E62">
        <v>5831950</v>
      </c>
      <c r="F62">
        <v>5522548</v>
      </c>
      <c r="G62">
        <v>556464</v>
      </c>
      <c r="H62">
        <v>23.954999999999998</v>
      </c>
      <c r="I62">
        <v>400488</v>
      </c>
      <c r="J62">
        <v>17.241</v>
      </c>
      <c r="K62">
        <v>2186046</v>
      </c>
      <c r="L62">
        <v>1462840</v>
      </c>
      <c r="M62">
        <v>723206</v>
      </c>
      <c r="N62">
        <v>26.488</v>
      </c>
      <c r="O62">
        <v>39.584000000000003</v>
      </c>
      <c r="P62">
        <v>1563176</v>
      </c>
      <c r="Q62">
        <v>1010458</v>
      </c>
      <c r="R62">
        <v>552718</v>
      </c>
      <c r="S62">
        <v>18.297000000000001</v>
      </c>
      <c r="T62">
        <v>28.305</v>
      </c>
      <c r="U62">
        <v>622870</v>
      </c>
      <c r="V62">
        <v>11.279</v>
      </c>
      <c r="W62">
        <v>56.610999999999997</v>
      </c>
      <c r="X62">
        <v>322877</v>
      </c>
      <c r="Y62">
        <v>324649</v>
      </c>
      <c r="Z62">
        <v>839069</v>
      </c>
    </row>
    <row r="63" spans="1:26" x14ac:dyDescent="0.25">
      <c r="A63">
        <v>1984</v>
      </c>
      <c r="B63" t="s">
        <v>55</v>
      </c>
      <c r="C63">
        <v>760868</v>
      </c>
      <c r="D63">
        <v>783026</v>
      </c>
      <c r="E63">
        <v>5548218</v>
      </c>
      <c r="F63">
        <v>5343056</v>
      </c>
      <c r="G63">
        <v>41160</v>
      </c>
      <c r="H63">
        <v>5.2859999999999996</v>
      </c>
      <c r="I63">
        <v>32388</v>
      </c>
      <c r="J63">
        <v>4.16</v>
      </c>
      <c r="K63">
        <v>1356657</v>
      </c>
      <c r="L63">
        <v>512904</v>
      </c>
      <c r="M63">
        <v>843753</v>
      </c>
      <c r="N63">
        <v>9.5990000000000002</v>
      </c>
      <c r="O63">
        <v>25.390999999999998</v>
      </c>
      <c r="P63">
        <v>947057</v>
      </c>
      <c r="Q63">
        <v>387198</v>
      </c>
      <c r="R63">
        <v>559859</v>
      </c>
      <c r="S63">
        <v>7.2469999999999999</v>
      </c>
      <c r="T63">
        <v>17.725000000000001</v>
      </c>
      <c r="U63">
        <v>409600</v>
      </c>
      <c r="V63">
        <v>7.6660000000000004</v>
      </c>
      <c r="W63">
        <v>35.450000000000003</v>
      </c>
      <c r="X63">
        <v>24954</v>
      </c>
      <c r="Y63">
        <v>26357</v>
      </c>
      <c r="Z63">
        <v>331451</v>
      </c>
    </row>
    <row r="64" spans="1:26" x14ac:dyDescent="0.25">
      <c r="A64">
        <v>1984</v>
      </c>
      <c r="B64" t="s">
        <v>56</v>
      </c>
      <c r="C64">
        <v>439286</v>
      </c>
      <c r="D64">
        <v>481058</v>
      </c>
      <c r="E64">
        <v>6391255</v>
      </c>
      <c r="F64">
        <v>6160007</v>
      </c>
      <c r="G64">
        <v>18395</v>
      </c>
      <c r="H64">
        <v>3.8319999999999999</v>
      </c>
      <c r="I64">
        <v>16429</v>
      </c>
      <c r="J64">
        <v>3.4220000000000002</v>
      </c>
      <c r="K64">
        <v>1389171</v>
      </c>
      <c r="L64">
        <v>418161</v>
      </c>
      <c r="M64">
        <v>971010</v>
      </c>
      <c r="N64">
        <v>6.7880000000000003</v>
      </c>
      <c r="O64">
        <v>22.550999999999998</v>
      </c>
      <c r="P64">
        <v>926322</v>
      </c>
      <c r="Q64">
        <v>342857</v>
      </c>
      <c r="R64">
        <v>583465</v>
      </c>
      <c r="S64">
        <v>5.5659999999999998</v>
      </c>
      <c r="T64">
        <v>15.038</v>
      </c>
      <c r="U64">
        <v>462849</v>
      </c>
      <c r="V64">
        <v>7.5140000000000002</v>
      </c>
      <c r="W64">
        <v>30.074999999999999</v>
      </c>
      <c r="X64">
        <v>10836</v>
      </c>
      <c r="Y64">
        <v>12232</v>
      </c>
      <c r="Z64">
        <v>291698</v>
      </c>
    </row>
    <row r="65" spans="1:26" x14ac:dyDescent="0.25">
      <c r="A65">
        <v>1984</v>
      </c>
      <c r="B65" t="s">
        <v>57</v>
      </c>
      <c r="C65">
        <v>349506</v>
      </c>
      <c r="D65">
        <v>483483</v>
      </c>
      <c r="E65">
        <v>14471020</v>
      </c>
      <c r="F65">
        <v>13894779</v>
      </c>
      <c r="G65">
        <v>19911</v>
      </c>
      <c r="H65">
        <v>4.1319999999999997</v>
      </c>
      <c r="I65">
        <v>16657</v>
      </c>
      <c r="J65">
        <v>3.4569999999999999</v>
      </c>
      <c r="K65">
        <v>2879819</v>
      </c>
      <c r="L65">
        <v>662018</v>
      </c>
      <c r="M65">
        <v>2217801</v>
      </c>
      <c r="N65">
        <v>4.7649999999999997</v>
      </c>
      <c r="O65">
        <v>20.725999999999999</v>
      </c>
      <c r="P65">
        <v>1727451</v>
      </c>
      <c r="Q65">
        <v>547577</v>
      </c>
      <c r="R65">
        <v>1179874</v>
      </c>
      <c r="S65">
        <v>3.9409999999999998</v>
      </c>
      <c r="T65">
        <v>12.432</v>
      </c>
      <c r="U65">
        <v>1152368</v>
      </c>
      <c r="V65">
        <v>8.2940000000000005</v>
      </c>
      <c r="W65">
        <v>24.864999999999998</v>
      </c>
      <c r="X65">
        <v>5683</v>
      </c>
      <c r="Y65">
        <v>7159</v>
      </c>
      <c r="Z65">
        <v>402976</v>
      </c>
    </row>
    <row r="66" spans="1:26" x14ac:dyDescent="0.25">
      <c r="A66">
        <v>1984</v>
      </c>
      <c r="B66" t="s">
        <v>58</v>
      </c>
      <c r="C66">
        <v>53922</v>
      </c>
      <c r="D66">
        <v>201449</v>
      </c>
      <c r="E66">
        <v>10598036</v>
      </c>
      <c r="F66">
        <v>10224565</v>
      </c>
      <c r="G66">
        <v>14727</v>
      </c>
      <c r="H66">
        <v>7.3869999999999996</v>
      </c>
      <c r="I66">
        <v>10579</v>
      </c>
      <c r="J66">
        <v>5.306</v>
      </c>
      <c r="K66">
        <v>1923433</v>
      </c>
      <c r="L66">
        <v>425599</v>
      </c>
      <c r="M66">
        <v>1497834</v>
      </c>
      <c r="N66">
        <v>4.1630000000000003</v>
      </c>
      <c r="O66">
        <v>18.812000000000001</v>
      </c>
      <c r="P66">
        <v>1175351</v>
      </c>
      <c r="Q66">
        <v>317227</v>
      </c>
      <c r="R66">
        <v>858124</v>
      </c>
      <c r="S66">
        <v>3.1030000000000002</v>
      </c>
      <c r="T66">
        <v>11.494999999999999</v>
      </c>
      <c r="U66">
        <v>748082</v>
      </c>
      <c r="V66">
        <v>7.3170000000000002</v>
      </c>
      <c r="W66">
        <v>22.991</v>
      </c>
      <c r="X66">
        <v>381</v>
      </c>
      <c r="Y66">
        <v>695</v>
      </c>
      <c r="Z66">
        <v>128014</v>
      </c>
    </row>
    <row r="67" spans="1:26" x14ac:dyDescent="0.25">
      <c r="A67">
        <v>1984</v>
      </c>
      <c r="B67" t="s">
        <v>59</v>
      </c>
      <c r="C67">
        <v>6119</v>
      </c>
      <c r="D67">
        <v>64384</v>
      </c>
      <c r="E67">
        <v>3825974</v>
      </c>
      <c r="F67">
        <v>3699141</v>
      </c>
      <c r="G67">
        <v>5200</v>
      </c>
      <c r="H67">
        <v>8.1809999999999992</v>
      </c>
      <c r="I67">
        <v>3560</v>
      </c>
      <c r="J67">
        <v>5.601</v>
      </c>
      <c r="K67">
        <v>609692</v>
      </c>
      <c r="L67">
        <v>159008</v>
      </c>
      <c r="M67">
        <v>450684</v>
      </c>
      <c r="N67">
        <v>4.2990000000000004</v>
      </c>
      <c r="O67">
        <v>16.481999999999999</v>
      </c>
      <c r="P67">
        <v>357400</v>
      </c>
      <c r="Q67">
        <v>86980</v>
      </c>
      <c r="R67">
        <v>270420</v>
      </c>
      <c r="S67">
        <v>2.351</v>
      </c>
      <c r="T67">
        <v>9.6620000000000008</v>
      </c>
      <c r="U67">
        <v>252292</v>
      </c>
      <c r="V67">
        <v>6.82</v>
      </c>
      <c r="W67">
        <v>19.323</v>
      </c>
      <c r="X67">
        <v>9</v>
      </c>
      <c r="Y67">
        <v>9</v>
      </c>
      <c r="Z67">
        <v>12370</v>
      </c>
    </row>
    <row r="68" spans="1:26" x14ac:dyDescent="0.25">
      <c r="A68">
        <v>1984</v>
      </c>
      <c r="B68" t="s">
        <v>60</v>
      </c>
      <c r="C68">
        <v>4032</v>
      </c>
      <c r="D68">
        <v>79425</v>
      </c>
      <c r="E68">
        <v>5188871</v>
      </c>
      <c r="F68">
        <v>5074252</v>
      </c>
      <c r="G68">
        <v>7030</v>
      </c>
      <c r="H68">
        <v>9.0050000000000008</v>
      </c>
      <c r="I68">
        <v>4310</v>
      </c>
      <c r="J68">
        <v>5.5209999999999999</v>
      </c>
      <c r="K68">
        <v>685129</v>
      </c>
      <c r="L68">
        <v>192762</v>
      </c>
      <c r="M68">
        <v>492367</v>
      </c>
      <c r="N68">
        <v>3.7989999999999999</v>
      </c>
      <c r="O68">
        <v>13.502000000000001</v>
      </c>
      <c r="P68">
        <v>460213</v>
      </c>
      <c r="Q68">
        <v>112849</v>
      </c>
      <c r="R68">
        <v>347364</v>
      </c>
      <c r="S68">
        <v>2.2240000000000002</v>
      </c>
      <c r="T68">
        <v>9.07</v>
      </c>
      <c r="U68">
        <v>224916</v>
      </c>
      <c r="V68">
        <v>4.4320000000000004</v>
      </c>
      <c r="W68">
        <v>18.138999999999999</v>
      </c>
      <c r="X68">
        <v>6</v>
      </c>
      <c r="Y68">
        <v>25</v>
      </c>
      <c r="Z68">
        <v>16748</v>
      </c>
    </row>
    <row r="69" spans="1:26" x14ac:dyDescent="0.25">
      <c r="A69">
        <v>1984</v>
      </c>
      <c r="B69" t="s">
        <v>61</v>
      </c>
      <c r="C69">
        <v>1621</v>
      </c>
      <c r="D69">
        <v>60717</v>
      </c>
      <c r="E69">
        <v>3870486</v>
      </c>
      <c r="F69">
        <v>3773066</v>
      </c>
      <c r="G69">
        <v>5274</v>
      </c>
      <c r="H69">
        <v>8.8409999999999993</v>
      </c>
      <c r="I69">
        <v>3152</v>
      </c>
      <c r="J69">
        <v>5.2839999999999998</v>
      </c>
      <c r="K69">
        <v>576614</v>
      </c>
      <c r="L69">
        <v>168385</v>
      </c>
      <c r="M69">
        <v>408229</v>
      </c>
      <c r="N69">
        <v>4.4630000000000001</v>
      </c>
      <c r="O69">
        <v>15.282</v>
      </c>
      <c r="P69">
        <v>381446</v>
      </c>
      <c r="Q69">
        <v>105495</v>
      </c>
      <c r="R69">
        <v>275951</v>
      </c>
      <c r="S69">
        <v>2.7959999999999998</v>
      </c>
      <c r="T69">
        <v>10.11</v>
      </c>
      <c r="U69">
        <v>195168</v>
      </c>
      <c r="V69">
        <v>5.173</v>
      </c>
      <c r="W69">
        <v>20.219000000000001</v>
      </c>
      <c r="X69">
        <v>3</v>
      </c>
      <c r="Y69">
        <v>3</v>
      </c>
      <c r="Z69">
        <v>21529</v>
      </c>
    </row>
    <row r="70" spans="1:26" x14ac:dyDescent="0.25">
      <c r="A70">
        <v>1984</v>
      </c>
      <c r="B70" t="s">
        <v>63</v>
      </c>
      <c r="C70">
        <v>949</v>
      </c>
      <c r="D70">
        <v>70118</v>
      </c>
      <c r="E70">
        <v>3992122</v>
      </c>
      <c r="F70">
        <v>3929030</v>
      </c>
      <c r="G70">
        <v>5867</v>
      </c>
      <c r="H70">
        <v>8.516</v>
      </c>
      <c r="I70">
        <v>3412</v>
      </c>
      <c r="J70">
        <v>4.9530000000000003</v>
      </c>
      <c r="K70">
        <v>515330</v>
      </c>
      <c r="L70">
        <v>144724</v>
      </c>
      <c r="M70">
        <v>370606</v>
      </c>
      <c r="N70">
        <v>3.6829999999999998</v>
      </c>
      <c r="O70">
        <v>13.116</v>
      </c>
      <c r="P70">
        <v>388346</v>
      </c>
      <c r="Q70">
        <v>87715</v>
      </c>
      <c r="R70">
        <v>300631</v>
      </c>
      <c r="S70">
        <v>2.2320000000000002</v>
      </c>
      <c r="T70">
        <v>9.8840000000000003</v>
      </c>
      <c r="U70">
        <v>126984</v>
      </c>
      <c r="V70">
        <v>3.2320000000000002</v>
      </c>
      <c r="W70">
        <v>19.768000000000001</v>
      </c>
      <c r="X70">
        <v>0</v>
      </c>
      <c r="Y70">
        <v>0</v>
      </c>
      <c r="Z70">
        <v>0</v>
      </c>
    </row>
    <row r="71" spans="1:26" x14ac:dyDescent="0.25">
      <c r="A71">
        <v>1984</v>
      </c>
      <c r="B71" t="s">
        <v>64</v>
      </c>
      <c r="C71">
        <v>979</v>
      </c>
      <c r="D71">
        <v>279928</v>
      </c>
      <c r="E71">
        <v>18955181</v>
      </c>
      <c r="F71">
        <v>18655908</v>
      </c>
      <c r="G71">
        <v>25026</v>
      </c>
      <c r="H71">
        <v>9.0470000000000006</v>
      </c>
      <c r="I71">
        <v>18429</v>
      </c>
      <c r="J71">
        <v>6.6619999999999999</v>
      </c>
      <c r="K71">
        <v>2657307</v>
      </c>
      <c r="L71">
        <v>961614</v>
      </c>
      <c r="M71">
        <v>1695693</v>
      </c>
      <c r="N71">
        <v>5.1539999999999999</v>
      </c>
      <c r="O71">
        <v>14.244</v>
      </c>
      <c r="P71">
        <v>2051634</v>
      </c>
      <c r="Q71">
        <v>634231</v>
      </c>
      <c r="R71">
        <v>1417403</v>
      </c>
      <c r="S71">
        <v>3.4</v>
      </c>
      <c r="T71">
        <v>10.997</v>
      </c>
      <c r="U71">
        <v>605673</v>
      </c>
      <c r="V71">
        <v>3.2469999999999999</v>
      </c>
      <c r="W71">
        <v>21.994</v>
      </c>
      <c r="X71" t="s">
        <v>62</v>
      </c>
      <c r="Y71" t="s">
        <v>62</v>
      </c>
      <c r="Z71" t="s">
        <v>62</v>
      </c>
    </row>
    <row r="72" spans="1:26" x14ac:dyDescent="0.25">
      <c r="A72">
        <v>1985</v>
      </c>
      <c r="B72" t="s">
        <v>54</v>
      </c>
      <c r="C72">
        <v>2400458</v>
      </c>
      <c r="D72">
        <v>2408357</v>
      </c>
      <c r="E72">
        <v>5867642</v>
      </c>
      <c r="F72">
        <v>5690597</v>
      </c>
      <c r="G72">
        <v>540382</v>
      </c>
      <c r="H72">
        <v>22.788</v>
      </c>
      <c r="I72">
        <v>466461</v>
      </c>
      <c r="J72">
        <v>19.670000000000002</v>
      </c>
      <c r="K72">
        <v>2151187</v>
      </c>
      <c r="L72">
        <v>1433565</v>
      </c>
      <c r="M72">
        <v>717622</v>
      </c>
      <c r="N72">
        <v>25.192</v>
      </c>
      <c r="O72">
        <v>37.802</v>
      </c>
      <c r="P72">
        <v>1792363</v>
      </c>
      <c r="Q72">
        <v>1197329</v>
      </c>
      <c r="R72">
        <v>595034</v>
      </c>
      <c r="S72">
        <v>21.04</v>
      </c>
      <c r="T72">
        <v>31.497</v>
      </c>
      <c r="U72">
        <v>358824</v>
      </c>
      <c r="V72">
        <v>6.306</v>
      </c>
      <c r="W72">
        <v>62.994</v>
      </c>
      <c r="X72">
        <v>375279</v>
      </c>
      <c r="Y72">
        <v>377467</v>
      </c>
      <c r="Z72">
        <v>992169</v>
      </c>
    </row>
    <row r="73" spans="1:26" x14ac:dyDescent="0.25">
      <c r="A73">
        <v>1985</v>
      </c>
      <c r="B73" t="s">
        <v>55</v>
      </c>
      <c r="C73">
        <v>788312</v>
      </c>
      <c r="D73">
        <v>809866</v>
      </c>
      <c r="E73">
        <v>5689266</v>
      </c>
      <c r="F73">
        <v>5585669</v>
      </c>
      <c r="G73">
        <v>42865</v>
      </c>
      <c r="H73">
        <v>5.3</v>
      </c>
      <c r="I73">
        <v>40630</v>
      </c>
      <c r="J73">
        <v>5.024</v>
      </c>
      <c r="K73">
        <v>1350059</v>
      </c>
      <c r="L73">
        <v>534614</v>
      </c>
      <c r="M73">
        <v>815445</v>
      </c>
      <c r="N73">
        <v>9.5709999999999997</v>
      </c>
      <c r="O73">
        <v>24.17</v>
      </c>
      <c r="P73">
        <v>1143043</v>
      </c>
      <c r="Q73">
        <v>499915</v>
      </c>
      <c r="R73">
        <v>643128</v>
      </c>
      <c r="S73">
        <v>8.9499999999999993</v>
      </c>
      <c r="T73">
        <v>20.463999999999999</v>
      </c>
      <c r="U73">
        <v>207016</v>
      </c>
      <c r="V73">
        <v>3.706</v>
      </c>
      <c r="W73">
        <v>40.927999999999997</v>
      </c>
      <c r="X73">
        <v>31998</v>
      </c>
      <c r="Y73">
        <v>33653</v>
      </c>
      <c r="Z73">
        <v>425578</v>
      </c>
    </row>
    <row r="74" spans="1:26" x14ac:dyDescent="0.25">
      <c r="A74">
        <v>1985</v>
      </c>
      <c r="B74" t="s">
        <v>56</v>
      </c>
      <c r="C74">
        <v>456294</v>
      </c>
      <c r="D74">
        <v>496174</v>
      </c>
      <c r="E74">
        <v>6559144</v>
      </c>
      <c r="F74">
        <v>6451005</v>
      </c>
      <c r="G74">
        <v>19670</v>
      </c>
      <c r="H74">
        <v>3.9609999999999999</v>
      </c>
      <c r="I74">
        <v>20601</v>
      </c>
      <c r="J74">
        <v>4.1479999999999997</v>
      </c>
      <c r="K74">
        <v>1369420</v>
      </c>
      <c r="L74">
        <v>439725</v>
      </c>
      <c r="M74">
        <v>929695</v>
      </c>
      <c r="N74">
        <v>6.8159999999999998</v>
      </c>
      <c r="O74">
        <v>21.228000000000002</v>
      </c>
      <c r="P74">
        <v>1152982</v>
      </c>
      <c r="Q74">
        <v>471392</v>
      </c>
      <c r="R74">
        <v>681590</v>
      </c>
      <c r="S74">
        <v>7.3070000000000004</v>
      </c>
      <c r="T74">
        <v>17.873000000000001</v>
      </c>
      <c r="U74">
        <v>216438</v>
      </c>
      <c r="V74">
        <v>3.355</v>
      </c>
      <c r="W74">
        <v>35.746000000000002</v>
      </c>
      <c r="X74">
        <v>14699</v>
      </c>
      <c r="Y74">
        <v>16244</v>
      </c>
      <c r="Z74">
        <v>397929</v>
      </c>
    </row>
    <row r="75" spans="1:26" x14ac:dyDescent="0.25">
      <c r="A75">
        <v>1985</v>
      </c>
      <c r="B75" t="s">
        <v>57</v>
      </c>
      <c r="C75">
        <v>365466</v>
      </c>
      <c r="D75">
        <v>496030</v>
      </c>
      <c r="E75">
        <v>14977949</v>
      </c>
      <c r="F75">
        <v>14723388</v>
      </c>
      <c r="G75">
        <v>18276</v>
      </c>
      <c r="H75">
        <v>3.6819999999999999</v>
      </c>
      <c r="I75">
        <v>18885</v>
      </c>
      <c r="J75">
        <v>3.8050000000000002</v>
      </c>
      <c r="K75">
        <v>2769871</v>
      </c>
      <c r="L75">
        <v>689359</v>
      </c>
      <c r="M75">
        <v>2080512</v>
      </c>
      <c r="N75">
        <v>4.6820000000000004</v>
      </c>
      <c r="O75">
        <v>18.812999999999999</v>
      </c>
      <c r="P75">
        <v>2260226</v>
      </c>
      <c r="Q75">
        <v>840833</v>
      </c>
      <c r="R75">
        <v>1419393</v>
      </c>
      <c r="S75">
        <v>5.7110000000000003</v>
      </c>
      <c r="T75">
        <v>15.351000000000001</v>
      </c>
      <c r="U75">
        <v>509645</v>
      </c>
      <c r="V75">
        <v>3.4609999999999999</v>
      </c>
      <c r="W75">
        <v>30.702999999999999</v>
      </c>
      <c r="X75">
        <v>8936</v>
      </c>
      <c r="Y75">
        <v>11085</v>
      </c>
      <c r="Z75">
        <v>653948</v>
      </c>
    </row>
    <row r="76" spans="1:26" x14ac:dyDescent="0.25">
      <c r="A76">
        <v>1985</v>
      </c>
      <c r="B76" t="s">
        <v>58</v>
      </c>
      <c r="C76">
        <v>57059</v>
      </c>
      <c r="D76">
        <v>208700</v>
      </c>
      <c r="E76">
        <v>11207795</v>
      </c>
      <c r="F76">
        <v>10921257</v>
      </c>
      <c r="G76">
        <v>14556</v>
      </c>
      <c r="H76">
        <v>7.0449999999999999</v>
      </c>
      <c r="I76">
        <v>10388</v>
      </c>
      <c r="J76">
        <v>5.0279999999999996</v>
      </c>
      <c r="K76">
        <v>1986161</v>
      </c>
      <c r="L76">
        <v>456615</v>
      </c>
      <c r="M76">
        <v>1529546</v>
      </c>
      <c r="N76">
        <v>4.181</v>
      </c>
      <c r="O76">
        <v>18.186</v>
      </c>
      <c r="P76">
        <v>1413116</v>
      </c>
      <c r="Q76">
        <v>455714</v>
      </c>
      <c r="R76">
        <v>957402</v>
      </c>
      <c r="S76">
        <v>4.173</v>
      </c>
      <c r="T76">
        <v>12.939</v>
      </c>
      <c r="U76">
        <v>573045</v>
      </c>
      <c r="V76">
        <v>5.2469999999999999</v>
      </c>
      <c r="W76">
        <v>25.878</v>
      </c>
      <c r="X76">
        <v>713</v>
      </c>
      <c r="Y76">
        <v>1679</v>
      </c>
      <c r="Z76">
        <v>247891</v>
      </c>
    </row>
    <row r="77" spans="1:26" x14ac:dyDescent="0.25">
      <c r="A77">
        <v>1985</v>
      </c>
      <c r="B77" t="s">
        <v>59</v>
      </c>
      <c r="C77">
        <v>6418</v>
      </c>
      <c r="D77">
        <v>64677</v>
      </c>
      <c r="E77">
        <v>3981896</v>
      </c>
      <c r="F77">
        <v>3887803</v>
      </c>
      <c r="G77">
        <v>5771</v>
      </c>
      <c r="H77">
        <v>9.0250000000000004</v>
      </c>
      <c r="I77">
        <v>4309</v>
      </c>
      <c r="J77">
        <v>6.7380000000000004</v>
      </c>
      <c r="K77">
        <v>673828</v>
      </c>
      <c r="L77">
        <v>182133</v>
      </c>
      <c r="M77">
        <v>491695</v>
      </c>
      <c r="N77">
        <v>4.6849999999999996</v>
      </c>
      <c r="O77">
        <v>17.332000000000001</v>
      </c>
      <c r="P77">
        <v>482641</v>
      </c>
      <c r="Q77">
        <v>150317</v>
      </c>
      <c r="R77">
        <v>332324</v>
      </c>
      <c r="S77">
        <v>3.8660000000000001</v>
      </c>
      <c r="T77">
        <v>12.414</v>
      </c>
      <c r="U77">
        <v>191187</v>
      </c>
      <c r="V77">
        <v>4.9180000000000001</v>
      </c>
      <c r="W77">
        <v>24.827999999999999</v>
      </c>
      <c r="X77">
        <v>38</v>
      </c>
      <c r="Y77">
        <v>489</v>
      </c>
      <c r="Z77">
        <v>51559</v>
      </c>
    </row>
    <row r="78" spans="1:26" x14ac:dyDescent="0.25">
      <c r="A78">
        <v>1985</v>
      </c>
      <c r="B78" t="s">
        <v>60</v>
      </c>
      <c r="C78">
        <v>4206</v>
      </c>
      <c r="D78">
        <v>83155</v>
      </c>
      <c r="E78">
        <v>5486426</v>
      </c>
      <c r="F78">
        <v>5383757</v>
      </c>
      <c r="G78">
        <v>7917</v>
      </c>
      <c r="H78">
        <v>9.6470000000000002</v>
      </c>
      <c r="I78">
        <v>5736</v>
      </c>
      <c r="J78">
        <v>6.99</v>
      </c>
      <c r="K78">
        <v>776901</v>
      </c>
      <c r="L78">
        <v>208026</v>
      </c>
      <c r="M78">
        <v>568875</v>
      </c>
      <c r="N78">
        <v>3.8639999999999999</v>
      </c>
      <c r="O78">
        <v>14.43</v>
      </c>
      <c r="P78">
        <v>567461</v>
      </c>
      <c r="Q78">
        <v>178926</v>
      </c>
      <c r="R78">
        <v>388535</v>
      </c>
      <c r="S78">
        <v>3.323</v>
      </c>
      <c r="T78">
        <v>10.54</v>
      </c>
      <c r="U78">
        <v>209440</v>
      </c>
      <c r="V78">
        <v>3.89</v>
      </c>
      <c r="W78">
        <v>21.08</v>
      </c>
      <c r="X78">
        <v>12</v>
      </c>
      <c r="Y78">
        <v>91</v>
      </c>
      <c r="Z78">
        <v>35011</v>
      </c>
    </row>
    <row r="79" spans="1:26" x14ac:dyDescent="0.25">
      <c r="A79">
        <v>1985</v>
      </c>
      <c r="B79" t="s">
        <v>61</v>
      </c>
      <c r="C79">
        <v>1583</v>
      </c>
      <c r="D79">
        <v>59653</v>
      </c>
      <c r="E79">
        <v>3800398</v>
      </c>
      <c r="F79">
        <v>3751801</v>
      </c>
      <c r="G79">
        <v>5359</v>
      </c>
      <c r="H79">
        <v>9.1069999999999993</v>
      </c>
      <c r="I79">
        <v>3745</v>
      </c>
      <c r="J79">
        <v>6.3639999999999999</v>
      </c>
      <c r="K79">
        <v>553551</v>
      </c>
      <c r="L79">
        <v>184683</v>
      </c>
      <c r="M79">
        <v>368868</v>
      </c>
      <c r="N79">
        <v>4.923</v>
      </c>
      <c r="O79">
        <v>14.754</v>
      </c>
      <c r="P79">
        <v>455394</v>
      </c>
      <c r="Q79">
        <v>147882</v>
      </c>
      <c r="R79">
        <v>307512</v>
      </c>
      <c r="S79">
        <v>3.9420000000000002</v>
      </c>
      <c r="T79">
        <v>12.138</v>
      </c>
      <c r="U79">
        <v>98157</v>
      </c>
      <c r="V79">
        <v>2.6160000000000001</v>
      </c>
      <c r="W79">
        <v>24.276</v>
      </c>
      <c r="X79" t="s">
        <v>62</v>
      </c>
      <c r="Y79" t="s">
        <v>62</v>
      </c>
      <c r="Z79" t="s">
        <v>62</v>
      </c>
    </row>
    <row r="80" spans="1:26" x14ac:dyDescent="0.25">
      <c r="A80">
        <v>1985</v>
      </c>
      <c r="B80" t="s">
        <v>63</v>
      </c>
      <c r="C80">
        <v>975</v>
      </c>
      <c r="D80">
        <v>76510</v>
      </c>
      <c r="E80">
        <v>4215857</v>
      </c>
      <c r="F80">
        <v>4164030</v>
      </c>
      <c r="G80">
        <v>6352</v>
      </c>
      <c r="H80">
        <v>8.3770000000000007</v>
      </c>
      <c r="I80">
        <v>4991</v>
      </c>
      <c r="J80">
        <v>6.5819999999999999</v>
      </c>
      <c r="K80">
        <v>601901</v>
      </c>
      <c r="L80">
        <v>220095</v>
      </c>
      <c r="M80">
        <v>381806</v>
      </c>
      <c r="N80">
        <v>5.2859999999999996</v>
      </c>
      <c r="O80">
        <v>14.455</v>
      </c>
      <c r="P80">
        <v>497879</v>
      </c>
      <c r="Q80">
        <v>137605</v>
      </c>
      <c r="R80">
        <v>360274</v>
      </c>
      <c r="S80">
        <v>3.3050000000000002</v>
      </c>
      <c r="T80">
        <v>11.957000000000001</v>
      </c>
      <c r="U80">
        <v>104022</v>
      </c>
      <c r="V80">
        <v>2.4980000000000002</v>
      </c>
      <c r="W80">
        <v>23.913</v>
      </c>
      <c r="X80">
        <v>0</v>
      </c>
      <c r="Y80">
        <v>0</v>
      </c>
      <c r="Z80">
        <v>0</v>
      </c>
    </row>
    <row r="81" spans="1:26" x14ac:dyDescent="0.25">
      <c r="A81">
        <v>1985</v>
      </c>
      <c r="B81" t="s">
        <v>64</v>
      </c>
      <c r="C81">
        <v>1018</v>
      </c>
      <c r="D81">
        <v>283099</v>
      </c>
      <c r="E81">
        <v>19788749</v>
      </c>
      <c r="F81">
        <v>19576510</v>
      </c>
      <c r="G81">
        <v>21775</v>
      </c>
      <c r="H81">
        <v>7.6459999999999999</v>
      </c>
      <c r="I81">
        <v>25176</v>
      </c>
      <c r="J81">
        <v>8.84</v>
      </c>
      <c r="K81">
        <v>2676950</v>
      </c>
      <c r="L81">
        <v>809872</v>
      </c>
      <c r="M81">
        <v>1867078</v>
      </c>
      <c r="N81">
        <v>4.1369999999999996</v>
      </c>
      <c r="O81">
        <v>13.673999999999999</v>
      </c>
      <c r="P81">
        <v>2262935</v>
      </c>
      <c r="Q81">
        <v>773778</v>
      </c>
      <c r="R81">
        <v>1489157</v>
      </c>
      <c r="S81">
        <v>3.9529999999999998</v>
      </c>
      <c r="T81">
        <v>11.558999999999999</v>
      </c>
      <c r="U81">
        <v>414015</v>
      </c>
      <c r="V81">
        <v>2.1150000000000002</v>
      </c>
      <c r="W81">
        <v>23.119</v>
      </c>
      <c r="X81">
        <v>0</v>
      </c>
      <c r="Y81">
        <v>0</v>
      </c>
      <c r="Z81">
        <v>0</v>
      </c>
    </row>
    <row r="82" spans="1:26" x14ac:dyDescent="0.25">
      <c r="A82">
        <v>1986</v>
      </c>
      <c r="B82" t="s">
        <v>54</v>
      </c>
      <c r="C82">
        <v>2432873</v>
      </c>
      <c r="D82">
        <v>2441541</v>
      </c>
      <c r="E82">
        <v>5940423</v>
      </c>
      <c r="F82">
        <v>5774020</v>
      </c>
      <c r="G82">
        <v>539310</v>
      </c>
      <c r="H82">
        <v>22.478999999999999</v>
      </c>
      <c r="I82">
        <v>454637</v>
      </c>
      <c r="J82">
        <v>18.949000000000002</v>
      </c>
      <c r="K82">
        <v>2146811</v>
      </c>
      <c r="L82">
        <v>1437055</v>
      </c>
      <c r="M82">
        <v>709756</v>
      </c>
      <c r="N82">
        <v>24.888000000000002</v>
      </c>
      <c r="O82">
        <v>37.180999999999997</v>
      </c>
      <c r="P82">
        <v>1809759</v>
      </c>
      <c r="Q82">
        <v>1190374</v>
      </c>
      <c r="R82">
        <v>619385</v>
      </c>
      <c r="S82">
        <v>20.616</v>
      </c>
      <c r="T82">
        <v>31.343</v>
      </c>
      <c r="U82">
        <v>337052</v>
      </c>
      <c r="V82">
        <v>5.8369999999999997</v>
      </c>
      <c r="W82">
        <v>62.686</v>
      </c>
      <c r="X82">
        <v>362469</v>
      </c>
      <c r="Y82">
        <v>364405</v>
      </c>
      <c r="Z82">
        <v>976520</v>
      </c>
    </row>
    <row r="83" spans="1:26" x14ac:dyDescent="0.25">
      <c r="A83">
        <v>1986</v>
      </c>
      <c r="B83" t="s">
        <v>55</v>
      </c>
      <c r="C83">
        <v>813098</v>
      </c>
      <c r="D83">
        <v>835356</v>
      </c>
      <c r="E83">
        <v>5841568</v>
      </c>
      <c r="F83">
        <v>5731036</v>
      </c>
      <c r="G83">
        <v>46948</v>
      </c>
      <c r="H83">
        <v>5.6479999999999997</v>
      </c>
      <c r="I83">
        <v>38715</v>
      </c>
      <c r="J83">
        <v>4.6580000000000004</v>
      </c>
      <c r="K83">
        <v>1376470</v>
      </c>
      <c r="L83">
        <v>554902</v>
      </c>
      <c r="M83">
        <v>821568</v>
      </c>
      <c r="N83">
        <v>9.6820000000000004</v>
      </c>
      <c r="O83">
        <v>24.018000000000001</v>
      </c>
      <c r="P83">
        <v>1155367</v>
      </c>
      <c r="Q83">
        <v>479735</v>
      </c>
      <c r="R83">
        <v>675632</v>
      </c>
      <c r="S83">
        <v>8.3710000000000004</v>
      </c>
      <c r="T83">
        <v>20.16</v>
      </c>
      <c r="U83">
        <v>221103</v>
      </c>
      <c r="V83">
        <v>3.8580000000000001</v>
      </c>
      <c r="W83">
        <v>40.32</v>
      </c>
      <c r="X83">
        <v>30796</v>
      </c>
      <c r="Y83">
        <v>32181</v>
      </c>
      <c r="Z83">
        <v>409299</v>
      </c>
    </row>
    <row r="84" spans="1:26" x14ac:dyDescent="0.25">
      <c r="A84">
        <v>1986</v>
      </c>
      <c r="B84" t="s">
        <v>56</v>
      </c>
      <c r="C84">
        <v>474542</v>
      </c>
      <c r="D84">
        <v>515897</v>
      </c>
      <c r="E84">
        <v>6780570</v>
      </c>
      <c r="F84">
        <v>6646330</v>
      </c>
      <c r="G84">
        <v>25546</v>
      </c>
      <c r="H84">
        <v>4.9850000000000003</v>
      </c>
      <c r="I84">
        <v>18769</v>
      </c>
      <c r="J84">
        <v>3.6619999999999999</v>
      </c>
      <c r="K84">
        <v>1431643</v>
      </c>
      <c r="L84">
        <v>498760</v>
      </c>
      <c r="M84">
        <v>932883</v>
      </c>
      <c r="N84">
        <v>7.5039999999999996</v>
      </c>
      <c r="O84">
        <v>21.54</v>
      </c>
      <c r="P84">
        <v>1163021</v>
      </c>
      <c r="Q84">
        <v>421266</v>
      </c>
      <c r="R84">
        <v>741755</v>
      </c>
      <c r="S84">
        <v>6.3380000000000001</v>
      </c>
      <c r="T84">
        <v>17.498999999999999</v>
      </c>
      <c r="U84">
        <v>268622</v>
      </c>
      <c r="V84">
        <v>4.0419999999999998</v>
      </c>
      <c r="W84">
        <v>34.997</v>
      </c>
      <c r="X84">
        <v>13351</v>
      </c>
      <c r="Y84">
        <v>14944</v>
      </c>
      <c r="Z84">
        <v>359227</v>
      </c>
    </row>
    <row r="85" spans="1:26" x14ac:dyDescent="0.25">
      <c r="A85">
        <v>1986</v>
      </c>
      <c r="B85" t="s">
        <v>57</v>
      </c>
      <c r="C85">
        <v>382844</v>
      </c>
      <c r="D85">
        <v>520556</v>
      </c>
      <c r="E85">
        <v>15604762</v>
      </c>
      <c r="F85">
        <v>15291110</v>
      </c>
      <c r="G85">
        <v>33238</v>
      </c>
      <c r="H85">
        <v>6.4640000000000004</v>
      </c>
      <c r="I85">
        <v>20606</v>
      </c>
      <c r="J85">
        <v>4.0069999999999997</v>
      </c>
      <c r="K85">
        <v>3038132</v>
      </c>
      <c r="L85">
        <v>935026</v>
      </c>
      <c r="M85">
        <v>2103106</v>
      </c>
      <c r="N85">
        <v>6.1150000000000002</v>
      </c>
      <c r="O85">
        <v>19.869</v>
      </c>
      <c r="P85">
        <v>2410058</v>
      </c>
      <c r="Q85">
        <v>732429</v>
      </c>
      <c r="R85">
        <v>1677629</v>
      </c>
      <c r="S85">
        <v>4.79</v>
      </c>
      <c r="T85">
        <v>15.760999999999999</v>
      </c>
      <c r="U85">
        <v>628074</v>
      </c>
      <c r="V85">
        <v>4.1070000000000002</v>
      </c>
      <c r="W85">
        <v>31.521999999999998</v>
      </c>
      <c r="X85">
        <v>7481</v>
      </c>
      <c r="Y85">
        <v>9664</v>
      </c>
      <c r="Z85">
        <v>541846</v>
      </c>
    </row>
    <row r="86" spans="1:26" x14ac:dyDescent="0.25">
      <c r="A86">
        <v>1986</v>
      </c>
      <c r="B86" t="s">
        <v>58</v>
      </c>
      <c r="C86">
        <v>59038</v>
      </c>
      <c r="D86">
        <v>208495</v>
      </c>
      <c r="E86">
        <v>11293986</v>
      </c>
      <c r="F86">
        <v>11163553</v>
      </c>
      <c r="G86">
        <v>16306</v>
      </c>
      <c r="H86">
        <v>7.88</v>
      </c>
      <c r="I86">
        <v>13167</v>
      </c>
      <c r="J86">
        <v>6.3630000000000004</v>
      </c>
      <c r="K86">
        <v>2015754</v>
      </c>
      <c r="L86">
        <v>546863</v>
      </c>
      <c r="M86">
        <v>1468891</v>
      </c>
      <c r="N86">
        <v>4.899</v>
      </c>
      <c r="O86">
        <v>18.056999999999999</v>
      </c>
      <c r="P86">
        <v>1753388</v>
      </c>
      <c r="Q86">
        <v>440983</v>
      </c>
      <c r="R86">
        <v>1312405</v>
      </c>
      <c r="S86">
        <v>3.95</v>
      </c>
      <c r="T86">
        <v>15.706</v>
      </c>
      <c r="U86">
        <v>262366</v>
      </c>
      <c r="V86">
        <v>2.35</v>
      </c>
      <c r="W86">
        <v>31.413</v>
      </c>
      <c r="X86">
        <v>589</v>
      </c>
      <c r="Y86">
        <v>1162</v>
      </c>
      <c r="Z86">
        <v>200072</v>
      </c>
    </row>
    <row r="87" spans="1:26" x14ac:dyDescent="0.25">
      <c r="A87">
        <v>1986</v>
      </c>
      <c r="B87" t="s">
        <v>59</v>
      </c>
      <c r="C87">
        <v>6728</v>
      </c>
      <c r="D87">
        <v>68065</v>
      </c>
      <c r="E87">
        <v>4072878</v>
      </c>
      <c r="F87">
        <v>4043288</v>
      </c>
      <c r="G87">
        <v>6731</v>
      </c>
      <c r="H87">
        <v>10.102</v>
      </c>
      <c r="I87">
        <v>3864</v>
      </c>
      <c r="J87">
        <v>5.7990000000000004</v>
      </c>
      <c r="K87">
        <v>643506</v>
      </c>
      <c r="L87">
        <v>190317</v>
      </c>
      <c r="M87">
        <v>453189</v>
      </c>
      <c r="N87">
        <v>4.7069999999999999</v>
      </c>
      <c r="O87">
        <v>15.914999999999999</v>
      </c>
      <c r="P87">
        <v>582528</v>
      </c>
      <c r="Q87">
        <v>138227</v>
      </c>
      <c r="R87">
        <v>444301</v>
      </c>
      <c r="S87">
        <v>3.419</v>
      </c>
      <c r="T87">
        <v>14.407</v>
      </c>
      <c r="U87">
        <v>60978</v>
      </c>
      <c r="V87">
        <v>1.508</v>
      </c>
      <c r="W87">
        <v>28.815000000000001</v>
      </c>
      <c r="X87">
        <v>26</v>
      </c>
      <c r="Y87">
        <v>196</v>
      </c>
      <c r="Z87">
        <v>33555</v>
      </c>
    </row>
    <row r="88" spans="1:26" x14ac:dyDescent="0.25">
      <c r="A88">
        <v>1986</v>
      </c>
      <c r="B88" t="s">
        <v>60</v>
      </c>
      <c r="C88">
        <v>4357</v>
      </c>
      <c r="D88">
        <v>85566</v>
      </c>
      <c r="E88">
        <v>5627697</v>
      </c>
      <c r="F88">
        <v>5508030</v>
      </c>
      <c r="G88">
        <v>8585</v>
      </c>
      <c r="H88">
        <v>10.246</v>
      </c>
      <c r="I88">
        <v>5036</v>
      </c>
      <c r="J88">
        <v>6.01</v>
      </c>
      <c r="K88">
        <v>898234</v>
      </c>
      <c r="L88">
        <v>290202</v>
      </c>
      <c r="M88">
        <v>608032</v>
      </c>
      <c r="N88">
        <v>5.2690000000000001</v>
      </c>
      <c r="O88">
        <v>16.308</v>
      </c>
      <c r="P88">
        <v>654623</v>
      </c>
      <c r="Q88">
        <v>148035</v>
      </c>
      <c r="R88">
        <v>506588</v>
      </c>
      <c r="S88">
        <v>2.6880000000000002</v>
      </c>
      <c r="T88">
        <v>11.885</v>
      </c>
      <c r="U88">
        <v>243611</v>
      </c>
      <c r="V88">
        <v>4.423</v>
      </c>
      <c r="W88">
        <v>23.77</v>
      </c>
      <c r="X88">
        <v>9</v>
      </c>
      <c r="Y88">
        <v>62</v>
      </c>
      <c r="Z88">
        <v>23730</v>
      </c>
    </row>
    <row r="89" spans="1:26" x14ac:dyDescent="0.25">
      <c r="A89">
        <v>1986</v>
      </c>
      <c r="B89" t="s">
        <v>61</v>
      </c>
      <c r="C89">
        <v>1769</v>
      </c>
      <c r="D89">
        <v>64268</v>
      </c>
      <c r="E89">
        <v>4166721</v>
      </c>
      <c r="F89">
        <v>4070487</v>
      </c>
      <c r="G89">
        <v>6008</v>
      </c>
      <c r="H89">
        <v>9.4890000000000008</v>
      </c>
      <c r="I89">
        <v>4102</v>
      </c>
      <c r="J89">
        <v>6.4790000000000001</v>
      </c>
      <c r="K89">
        <v>670131</v>
      </c>
      <c r="L89">
        <v>181368</v>
      </c>
      <c r="M89">
        <v>488763</v>
      </c>
      <c r="N89">
        <v>4.4560000000000004</v>
      </c>
      <c r="O89">
        <v>16.463000000000001</v>
      </c>
      <c r="P89">
        <v>477252</v>
      </c>
      <c r="Q89">
        <v>101592</v>
      </c>
      <c r="R89">
        <v>375660</v>
      </c>
      <c r="S89">
        <v>2.496</v>
      </c>
      <c r="T89">
        <v>11.725</v>
      </c>
      <c r="U89">
        <v>192879</v>
      </c>
      <c r="V89">
        <v>4.7380000000000004</v>
      </c>
      <c r="W89">
        <v>23.449000000000002</v>
      </c>
      <c r="X89">
        <v>0</v>
      </c>
      <c r="Y89">
        <v>0</v>
      </c>
      <c r="Z89">
        <v>0</v>
      </c>
    </row>
    <row r="90" spans="1:26" x14ac:dyDescent="0.25">
      <c r="A90">
        <v>1986</v>
      </c>
      <c r="B90" t="s">
        <v>63</v>
      </c>
      <c r="C90">
        <v>1039</v>
      </c>
      <c r="D90">
        <v>77291</v>
      </c>
      <c r="E90">
        <v>4307714</v>
      </c>
      <c r="F90">
        <v>4250768</v>
      </c>
      <c r="G90">
        <v>6376</v>
      </c>
      <c r="H90">
        <v>8.2929999999999993</v>
      </c>
      <c r="I90">
        <v>5563</v>
      </c>
      <c r="J90">
        <v>7.2359999999999998</v>
      </c>
      <c r="K90">
        <v>590363</v>
      </c>
      <c r="L90">
        <v>166783</v>
      </c>
      <c r="M90">
        <v>423580</v>
      </c>
      <c r="N90">
        <v>3.9239999999999999</v>
      </c>
      <c r="O90">
        <v>13.888</v>
      </c>
      <c r="P90">
        <v>477196</v>
      </c>
      <c r="Q90">
        <v>137310</v>
      </c>
      <c r="R90">
        <v>339886</v>
      </c>
      <c r="S90">
        <v>3.23</v>
      </c>
      <c r="T90">
        <v>11.226000000000001</v>
      </c>
      <c r="U90">
        <v>113167</v>
      </c>
      <c r="V90">
        <v>2.6619999999999999</v>
      </c>
      <c r="W90">
        <v>22.452000000000002</v>
      </c>
      <c r="X90" t="s">
        <v>62</v>
      </c>
      <c r="Y90" t="s">
        <v>62</v>
      </c>
      <c r="Z90" t="s">
        <v>62</v>
      </c>
    </row>
    <row r="91" spans="1:26" x14ac:dyDescent="0.25">
      <c r="A91">
        <v>1986</v>
      </c>
      <c r="B91" t="s">
        <v>64</v>
      </c>
      <c r="C91">
        <v>1062</v>
      </c>
      <c r="D91">
        <v>295691</v>
      </c>
      <c r="E91">
        <v>20283741</v>
      </c>
      <c r="F91">
        <v>20206066</v>
      </c>
      <c r="G91">
        <v>22582</v>
      </c>
      <c r="H91">
        <v>7.6790000000000003</v>
      </c>
      <c r="I91">
        <v>19353</v>
      </c>
      <c r="J91">
        <v>6.5810000000000004</v>
      </c>
      <c r="K91">
        <v>2412227</v>
      </c>
      <c r="L91">
        <v>756013</v>
      </c>
      <c r="M91">
        <v>1656214</v>
      </c>
      <c r="N91">
        <v>3.742</v>
      </c>
      <c r="O91">
        <v>11.938000000000001</v>
      </c>
      <c r="P91">
        <v>2258334</v>
      </c>
      <c r="Q91">
        <v>579390</v>
      </c>
      <c r="R91">
        <v>1678944</v>
      </c>
      <c r="S91">
        <v>2.867</v>
      </c>
      <c r="T91">
        <v>11.177</v>
      </c>
      <c r="U91">
        <v>153893</v>
      </c>
      <c r="V91">
        <v>0.76200000000000001</v>
      </c>
      <c r="W91">
        <v>22.353000000000002</v>
      </c>
      <c r="X91">
        <v>0</v>
      </c>
      <c r="Y91">
        <v>0</v>
      </c>
      <c r="Z91">
        <v>0</v>
      </c>
    </row>
    <row r="92" spans="1:26" x14ac:dyDescent="0.25">
      <c r="A92">
        <v>1987</v>
      </c>
      <c r="B92" t="s">
        <v>54</v>
      </c>
      <c r="C92">
        <v>2459506</v>
      </c>
      <c r="D92">
        <v>2467251</v>
      </c>
      <c r="E92">
        <v>6006990</v>
      </c>
      <c r="F92">
        <v>5858363</v>
      </c>
      <c r="G92">
        <v>545966</v>
      </c>
      <c r="H92">
        <v>22.472999999999999</v>
      </c>
      <c r="I92">
        <v>470369</v>
      </c>
      <c r="J92">
        <v>19.361000000000001</v>
      </c>
      <c r="K92">
        <v>2174530</v>
      </c>
      <c r="L92">
        <v>1451770</v>
      </c>
      <c r="M92">
        <v>722760</v>
      </c>
      <c r="N92">
        <v>24.780999999999999</v>
      </c>
      <c r="O92">
        <v>37.118000000000002</v>
      </c>
      <c r="P92">
        <v>1875711</v>
      </c>
      <c r="Q92">
        <v>1235610</v>
      </c>
      <c r="R92">
        <v>640101</v>
      </c>
      <c r="S92">
        <v>21.091000000000001</v>
      </c>
      <c r="T92">
        <v>32.018000000000001</v>
      </c>
      <c r="U92">
        <v>298819</v>
      </c>
      <c r="V92">
        <v>5.101</v>
      </c>
      <c r="W92">
        <v>64.034999999999997</v>
      </c>
      <c r="X92">
        <v>378865</v>
      </c>
      <c r="Y92">
        <v>380737</v>
      </c>
      <c r="Z92">
        <v>1023262</v>
      </c>
    </row>
    <row r="93" spans="1:26" x14ac:dyDescent="0.25">
      <c r="A93">
        <v>1987</v>
      </c>
      <c r="B93" t="s">
        <v>55</v>
      </c>
      <c r="C93">
        <v>830142</v>
      </c>
      <c r="D93">
        <v>851097</v>
      </c>
      <c r="E93">
        <v>5965350</v>
      </c>
      <c r="F93">
        <v>5866986</v>
      </c>
      <c r="G93">
        <v>49412</v>
      </c>
      <c r="H93">
        <v>5.819</v>
      </c>
      <c r="I93">
        <v>45406</v>
      </c>
      <c r="J93">
        <v>5.3479999999999999</v>
      </c>
      <c r="K93">
        <v>1424803</v>
      </c>
      <c r="L93">
        <v>572655</v>
      </c>
      <c r="M93">
        <v>852148</v>
      </c>
      <c r="N93">
        <v>9.7609999999999992</v>
      </c>
      <c r="O93">
        <v>24.285</v>
      </c>
      <c r="P93">
        <v>1229144</v>
      </c>
      <c r="Q93">
        <v>521172</v>
      </c>
      <c r="R93">
        <v>707972</v>
      </c>
      <c r="S93">
        <v>8.8829999999999991</v>
      </c>
      <c r="T93">
        <v>20.95</v>
      </c>
      <c r="U93">
        <v>195659</v>
      </c>
      <c r="V93">
        <v>3.335</v>
      </c>
      <c r="W93">
        <v>41.9</v>
      </c>
      <c r="X93">
        <v>33036</v>
      </c>
      <c r="Y93">
        <v>34464</v>
      </c>
      <c r="Z93">
        <v>437960</v>
      </c>
    </row>
    <row r="94" spans="1:26" x14ac:dyDescent="0.25">
      <c r="A94">
        <v>1987</v>
      </c>
      <c r="B94" t="s">
        <v>56</v>
      </c>
      <c r="C94">
        <v>486305</v>
      </c>
      <c r="D94">
        <v>527553</v>
      </c>
      <c r="E94">
        <v>6938641</v>
      </c>
      <c r="F94">
        <v>6833818</v>
      </c>
      <c r="G94">
        <v>27019</v>
      </c>
      <c r="H94">
        <v>5.1289999999999996</v>
      </c>
      <c r="I94">
        <v>25439</v>
      </c>
      <c r="J94">
        <v>4.8289999999999997</v>
      </c>
      <c r="K94">
        <v>1498981</v>
      </c>
      <c r="L94">
        <v>521495</v>
      </c>
      <c r="M94">
        <v>977486</v>
      </c>
      <c r="N94">
        <v>7.6310000000000002</v>
      </c>
      <c r="O94">
        <v>21.934999999999999</v>
      </c>
      <c r="P94">
        <v>1290178</v>
      </c>
      <c r="Q94">
        <v>490326</v>
      </c>
      <c r="R94">
        <v>799852</v>
      </c>
      <c r="S94">
        <v>7.1749999999999998</v>
      </c>
      <c r="T94">
        <v>18.879000000000001</v>
      </c>
      <c r="U94">
        <v>208803</v>
      </c>
      <c r="V94">
        <v>3.0550000000000002</v>
      </c>
      <c r="W94">
        <v>37.759</v>
      </c>
      <c r="X94">
        <v>14966</v>
      </c>
      <c r="Y94">
        <v>16265</v>
      </c>
      <c r="Z94">
        <v>402381</v>
      </c>
    </row>
    <row r="95" spans="1:26" x14ac:dyDescent="0.25">
      <c r="A95">
        <v>1987</v>
      </c>
      <c r="B95" t="s">
        <v>57</v>
      </c>
      <c r="C95">
        <v>390736</v>
      </c>
      <c r="D95">
        <v>537774</v>
      </c>
      <c r="E95">
        <v>15987967</v>
      </c>
      <c r="F95">
        <v>15725060</v>
      </c>
      <c r="G95">
        <v>33327</v>
      </c>
      <c r="H95">
        <v>6.2430000000000003</v>
      </c>
      <c r="I95">
        <v>25484</v>
      </c>
      <c r="J95">
        <v>4.774</v>
      </c>
      <c r="K95">
        <v>3185036</v>
      </c>
      <c r="L95">
        <v>988531</v>
      </c>
      <c r="M95">
        <v>2196505</v>
      </c>
      <c r="N95">
        <v>6.2859999999999996</v>
      </c>
      <c r="O95">
        <v>20.254999999999999</v>
      </c>
      <c r="P95">
        <v>2662919</v>
      </c>
      <c r="Q95">
        <v>856455</v>
      </c>
      <c r="R95">
        <v>1806464</v>
      </c>
      <c r="S95">
        <v>5.4459999999999997</v>
      </c>
      <c r="T95">
        <v>16.934000000000001</v>
      </c>
      <c r="U95">
        <v>522117</v>
      </c>
      <c r="V95">
        <v>3.32</v>
      </c>
      <c r="W95">
        <v>33.868000000000002</v>
      </c>
      <c r="X95">
        <v>8822</v>
      </c>
      <c r="Y95">
        <v>11017</v>
      </c>
      <c r="Z95">
        <v>641245</v>
      </c>
    </row>
    <row r="96" spans="1:26" x14ac:dyDescent="0.25">
      <c r="A96">
        <v>1987</v>
      </c>
      <c r="B96" t="s">
        <v>58</v>
      </c>
      <c r="C96">
        <v>61824</v>
      </c>
      <c r="D96">
        <v>223924</v>
      </c>
      <c r="E96">
        <v>12091144</v>
      </c>
      <c r="F96">
        <v>11803751</v>
      </c>
      <c r="G96">
        <v>21874</v>
      </c>
      <c r="H96">
        <v>9.9369999999999994</v>
      </c>
      <c r="I96">
        <v>14270</v>
      </c>
      <c r="J96">
        <v>6.4829999999999997</v>
      </c>
      <c r="K96">
        <v>2426970</v>
      </c>
      <c r="L96">
        <v>833742</v>
      </c>
      <c r="M96">
        <v>1593228</v>
      </c>
      <c r="N96">
        <v>7.0629999999999997</v>
      </c>
      <c r="O96">
        <v>20.561</v>
      </c>
      <c r="P96">
        <v>1855898</v>
      </c>
      <c r="Q96">
        <v>527399</v>
      </c>
      <c r="R96">
        <v>1328499</v>
      </c>
      <c r="S96">
        <v>4.468</v>
      </c>
      <c r="T96">
        <v>15.723000000000001</v>
      </c>
      <c r="U96">
        <v>571072</v>
      </c>
      <c r="V96">
        <v>4.8380000000000001</v>
      </c>
      <c r="W96">
        <v>31.446000000000002</v>
      </c>
      <c r="X96">
        <v>739</v>
      </c>
      <c r="Y96">
        <v>1683</v>
      </c>
      <c r="Z96">
        <v>253654</v>
      </c>
    </row>
    <row r="97" spans="1:26" x14ac:dyDescent="0.25">
      <c r="A97">
        <v>1987</v>
      </c>
      <c r="B97" t="s">
        <v>59</v>
      </c>
      <c r="C97">
        <v>7186</v>
      </c>
      <c r="D97">
        <v>70791</v>
      </c>
      <c r="E97">
        <v>4309538</v>
      </c>
      <c r="F97">
        <v>4204406</v>
      </c>
      <c r="G97">
        <v>6952</v>
      </c>
      <c r="H97">
        <v>9.9909999999999997</v>
      </c>
      <c r="I97">
        <v>4541</v>
      </c>
      <c r="J97">
        <v>6.5259999999999998</v>
      </c>
      <c r="K97">
        <v>794510</v>
      </c>
      <c r="L97">
        <v>317520</v>
      </c>
      <c r="M97">
        <v>476990</v>
      </c>
      <c r="N97">
        <v>7.5519999999999996</v>
      </c>
      <c r="O97">
        <v>18.896999999999998</v>
      </c>
      <c r="P97">
        <v>583090</v>
      </c>
      <c r="Q97">
        <v>170744</v>
      </c>
      <c r="R97">
        <v>412346</v>
      </c>
      <c r="S97">
        <v>4.0609999999999999</v>
      </c>
      <c r="T97">
        <v>13.869</v>
      </c>
      <c r="U97">
        <v>211420</v>
      </c>
      <c r="V97">
        <v>5.0289999999999999</v>
      </c>
      <c r="W97">
        <v>27.736999999999998</v>
      </c>
      <c r="X97">
        <v>27</v>
      </c>
      <c r="Y97">
        <v>244</v>
      </c>
      <c r="Z97">
        <v>36943</v>
      </c>
    </row>
    <row r="98" spans="1:26" x14ac:dyDescent="0.25">
      <c r="A98">
        <v>1987</v>
      </c>
      <c r="B98" t="s">
        <v>60</v>
      </c>
      <c r="C98">
        <v>4501</v>
      </c>
      <c r="D98">
        <v>85836</v>
      </c>
      <c r="E98">
        <v>5764859</v>
      </c>
      <c r="F98">
        <v>5761168</v>
      </c>
      <c r="G98">
        <v>9571</v>
      </c>
      <c r="H98">
        <v>11.37</v>
      </c>
      <c r="I98">
        <v>6257</v>
      </c>
      <c r="J98">
        <v>7.4329999999999998</v>
      </c>
      <c r="K98">
        <v>915637</v>
      </c>
      <c r="L98">
        <v>385988</v>
      </c>
      <c r="M98">
        <v>529649</v>
      </c>
      <c r="N98">
        <v>6.7</v>
      </c>
      <c r="O98">
        <v>15.893000000000001</v>
      </c>
      <c r="P98">
        <v>906735</v>
      </c>
      <c r="Q98">
        <v>217379</v>
      </c>
      <c r="R98">
        <v>689356</v>
      </c>
      <c r="S98">
        <v>3.7730000000000001</v>
      </c>
      <c r="T98">
        <v>15.739000000000001</v>
      </c>
      <c r="U98">
        <v>8902</v>
      </c>
      <c r="V98">
        <v>0.155</v>
      </c>
      <c r="W98">
        <v>31.477</v>
      </c>
      <c r="X98">
        <v>10</v>
      </c>
      <c r="Y98">
        <v>274</v>
      </c>
      <c r="Z98">
        <v>27198</v>
      </c>
    </row>
    <row r="99" spans="1:26" x14ac:dyDescent="0.25">
      <c r="A99">
        <v>1987</v>
      </c>
      <c r="B99" t="s">
        <v>61</v>
      </c>
      <c r="C99">
        <v>1850</v>
      </c>
      <c r="D99">
        <v>72208</v>
      </c>
      <c r="E99">
        <v>4226622</v>
      </c>
      <c r="F99">
        <v>4249211</v>
      </c>
      <c r="G99">
        <v>7360</v>
      </c>
      <c r="H99">
        <v>10.366</v>
      </c>
      <c r="I99">
        <v>4942</v>
      </c>
      <c r="J99">
        <v>6.9610000000000003</v>
      </c>
      <c r="K99">
        <v>633917</v>
      </c>
      <c r="L99">
        <v>237007</v>
      </c>
      <c r="M99">
        <v>396910</v>
      </c>
      <c r="N99">
        <v>5.5780000000000003</v>
      </c>
      <c r="O99">
        <v>14.917999999999999</v>
      </c>
      <c r="P99">
        <v>681338</v>
      </c>
      <c r="Q99">
        <v>178159</v>
      </c>
      <c r="R99">
        <v>503179</v>
      </c>
      <c r="S99">
        <v>4.1929999999999996</v>
      </c>
      <c r="T99">
        <v>16.033999999999999</v>
      </c>
      <c r="U99">
        <v>-47421</v>
      </c>
      <c r="V99">
        <v>-1.1160000000000001</v>
      </c>
      <c r="W99">
        <v>29.837</v>
      </c>
      <c r="X99" t="s">
        <v>62</v>
      </c>
      <c r="Y99" t="s">
        <v>62</v>
      </c>
      <c r="Z99" t="s">
        <v>62</v>
      </c>
    </row>
    <row r="100" spans="1:26" x14ac:dyDescent="0.25">
      <c r="A100">
        <v>1987</v>
      </c>
      <c r="B100" t="s">
        <v>63</v>
      </c>
      <c r="C100">
        <v>1131</v>
      </c>
      <c r="D100">
        <v>81835</v>
      </c>
      <c r="E100">
        <v>4474696</v>
      </c>
      <c r="F100">
        <v>4495630</v>
      </c>
      <c r="G100">
        <v>8605</v>
      </c>
      <c r="H100">
        <v>10.678000000000001</v>
      </c>
      <c r="I100">
        <v>6108</v>
      </c>
      <c r="J100">
        <v>7.5789999999999997</v>
      </c>
      <c r="K100">
        <v>640076</v>
      </c>
      <c r="L100">
        <v>240450</v>
      </c>
      <c r="M100">
        <v>399626</v>
      </c>
      <c r="N100">
        <v>5.3490000000000002</v>
      </c>
      <c r="O100">
        <v>14.238</v>
      </c>
      <c r="P100">
        <v>678500</v>
      </c>
      <c r="Q100">
        <v>190881</v>
      </c>
      <c r="R100">
        <v>487619</v>
      </c>
      <c r="S100">
        <v>4.2460000000000004</v>
      </c>
      <c r="T100">
        <v>15.092000000000001</v>
      </c>
      <c r="U100">
        <v>-38424</v>
      </c>
      <c r="V100">
        <v>-0.85499999999999998</v>
      </c>
      <c r="W100">
        <v>28.475000000000001</v>
      </c>
      <c r="X100">
        <v>0</v>
      </c>
      <c r="Y100">
        <v>0</v>
      </c>
      <c r="Z100">
        <v>0</v>
      </c>
    </row>
    <row r="101" spans="1:26" x14ac:dyDescent="0.25">
      <c r="A101">
        <v>1987</v>
      </c>
      <c r="B101" t="s">
        <v>64</v>
      </c>
      <c r="C101">
        <v>1106</v>
      </c>
      <c r="D101">
        <v>306200</v>
      </c>
      <c r="E101">
        <v>20120312</v>
      </c>
      <c r="F101">
        <v>20245464</v>
      </c>
      <c r="G101">
        <v>30312</v>
      </c>
      <c r="H101">
        <v>9.9749999999999996</v>
      </c>
      <c r="I101">
        <v>25681</v>
      </c>
      <c r="J101">
        <v>8.4510000000000005</v>
      </c>
      <c r="K101">
        <v>2634618</v>
      </c>
      <c r="L101">
        <v>970207</v>
      </c>
      <c r="M101">
        <v>1664411</v>
      </c>
      <c r="N101">
        <v>4.7919999999999998</v>
      </c>
      <c r="O101">
        <v>13.013</v>
      </c>
      <c r="P101">
        <v>2881796</v>
      </c>
      <c r="Q101">
        <v>894242</v>
      </c>
      <c r="R101">
        <v>1987554</v>
      </c>
      <c r="S101">
        <v>4.4169999999999998</v>
      </c>
      <c r="T101">
        <v>14.234</v>
      </c>
      <c r="U101">
        <v>-247178</v>
      </c>
      <c r="V101">
        <v>-1.2210000000000001</v>
      </c>
      <c r="W101">
        <v>26.027000000000001</v>
      </c>
      <c r="X101">
        <v>0</v>
      </c>
      <c r="Y101">
        <v>0</v>
      </c>
      <c r="Z101">
        <v>0</v>
      </c>
    </row>
    <row r="102" spans="1:26" x14ac:dyDescent="0.25">
      <c r="A102">
        <v>1988</v>
      </c>
      <c r="B102" t="s">
        <v>54</v>
      </c>
      <c r="C102">
        <v>2492804</v>
      </c>
      <c r="D102">
        <v>2500116</v>
      </c>
      <c r="E102">
        <v>6076440</v>
      </c>
      <c r="F102">
        <v>5936890</v>
      </c>
      <c r="G102">
        <v>539323</v>
      </c>
      <c r="H102">
        <v>21.905000000000001</v>
      </c>
      <c r="I102">
        <v>463294</v>
      </c>
      <c r="J102">
        <v>18.817</v>
      </c>
      <c r="K102">
        <v>2150762</v>
      </c>
      <c r="L102">
        <v>1425892</v>
      </c>
      <c r="M102">
        <v>724870</v>
      </c>
      <c r="N102">
        <v>24.016999999999999</v>
      </c>
      <c r="O102">
        <v>36.226999999999997</v>
      </c>
      <c r="P102">
        <v>1869480</v>
      </c>
      <c r="Q102">
        <v>1191799</v>
      </c>
      <c r="R102">
        <v>677681</v>
      </c>
      <c r="S102">
        <v>20.074000000000002</v>
      </c>
      <c r="T102">
        <v>31.489000000000001</v>
      </c>
      <c r="U102">
        <v>281282</v>
      </c>
      <c r="V102">
        <v>4.7380000000000004</v>
      </c>
      <c r="W102">
        <v>62.978000000000002</v>
      </c>
      <c r="X102">
        <v>371667</v>
      </c>
      <c r="Y102">
        <v>373643</v>
      </c>
      <c r="Z102">
        <v>984970</v>
      </c>
    </row>
    <row r="103" spans="1:26" x14ac:dyDescent="0.25">
      <c r="A103">
        <v>1988</v>
      </c>
      <c r="B103" t="s">
        <v>55</v>
      </c>
      <c r="C103">
        <v>849606</v>
      </c>
      <c r="D103">
        <v>870357</v>
      </c>
      <c r="E103">
        <v>6095348</v>
      </c>
      <c r="F103">
        <v>6001288</v>
      </c>
      <c r="G103">
        <v>46402</v>
      </c>
      <c r="H103">
        <v>5.3550000000000004</v>
      </c>
      <c r="I103">
        <v>38728</v>
      </c>
      <c r="J103">
        <v>4.4690000000000003</v>
      </c>
      <c r="K103">
        <v>1392289</v>
      </c>
      <c r="L103">
        <v>545378</v>
      </c>
      <c r="M103">
        <v>846911</v>
      </c>
      <c r="N103">
        <v>9.0879999999999992</v>
      </c>
      <c r="O103">
        <v>23.2</v>
      </c>
      <c r="P103">
        <v>1204366</v>
      </c>
      <c r="Q103">
        <v>474499</v>
      </c>
      <c r="R103">
        <v>729867</v>
      </c>
      <c r="S103">
        <v>7.907</v>
      </c>
      <c r="T103">
        <v>20.068000000000001</v>
      </c>
      <c r="U103">
        <v>187923</v>
      </c>
      <c r="V103">
        <v>3.1309999999999998</v>
      </c>
      <c r="W103">
        <v>40.137</v>
      </c>
      <c r="X103">
        <v>30786</v>
      </c>
      <c r="Y103">
        <v>32418</v>
      </c>
      <c r="Z103">
        <v>408366</v>
      </c>
    </row>
    <row r="104" spans="1:26" x14ac:dyDescent="0.25">
      <c r="A104">
        <v>1988</v>
      </c>
      <c r="B104" t="s">
        <v>56</v>
      </c>
      <c r="C104">
        <v>500429</v>
      </c>
      <c r="D104">
        <v>544125</v>
      </c>
      <c r="E104">
        <v>7153985</v>
      </c>
      <c r="F104">
        <v>7041602</v>
      </c>
      <c r="G104">
        <v>23992</v>
      </c>
      <c r="H104">
        <v>4.4249999999999998</v>
      </c>
      <c r="I104">
        <v>20004</v>
      </c>
      <c r="J104">
        <v>3.69</v>
      </c>
      <c r="K104">
        <v>1456338</v>
      </c>
      <c r="L104">
        <v>484306</v>
      </c>
      <c r="M104">
        <v>972032</v>
      </c>
      <c r="N104">
        <v>6.8780000000000001</v>
      </c>
      <c r="O104">
        <v>20.681999999999999</v>
      </c>
      <c r="P104">
        <v>1232213</v>
      </c>
      <c r="Q104">
        <v>434204</v>
      </c>
      <c r="R104">
        <v>798009</v>
      </c>
      <c r="S104">
        <v>6.1660000000000004</v>
      </c>
      <c r="T104">
        <v>17.498999999999999</v>
      </c>
      <c r="U104">
        <v>224125</v>
      </c>
      <c r="V104">
        <v>3.1829999999999998</v>
      </c>
      <c r="W104">
        <v>34.997999999999998</v>
      </c>
      <c r="X104">
        <v>13973</v>
      </c>
      <c r="Y104">
        <v>15717</v>
      </c>
      <c r="Z104">
        <v>376132</v>
      </c>
    </row>
    <row r="105" spans="1:26" x14ac:dyDescent="0.25">
      <c r="A105">
        <v>1988</v>
      </c>
      <c r="B105" t="s">
        <v>57</v>
      </c>
      <c r="C105">
        <v>403005</v>
      </c>
      <c r="D105">
        <v>557518</v>
      </c>
      <c r="E105">
        <v>16475521</v>
      </c>
      <c r="F105">
        <v>16218349</v>
      </c>
      <c r="G105">
        <v>32244</v>
      </c>
      <c r="H105">
        <v>5.8339999999999996</v>
      </c>
      <c r="I105">
        <v>22512</v>
      </c>
      <c r="J105">
        <v>4.0730000000000004</v>
      </c>
      <c r="K105">
        <v>3062550</v>
      </c>
      <c r="L105">
        <v>894544</v>
      </c>
      <c r="M105">
        <v>2168006</v>
      </c>
      <c r="N105">
        <v>5.516</v>
      </c>
      <c r="O105">
        <v>18.882999999999999</v>
      </c>
      <c r="P105">
        <v>2547447</v>
      </c>
      <c r="Q105">
        <v>783144</v>
      </c>
      <c r="R105">
        <v>1764303</v>
      </c>
      <c r="S105">
        <v>4.8289999999999997</v>
      </c>
      <c r="T105">
        <v>15.707000000000001</v>
      </c>
      <c r="U105">
        <v>515103</v>
      </c>
      <c r="V105">
        <v>3.1760000000000002</v>
      </c>
      <c r="W105">
        <v>31.414000000000001</v>
      </c>
      <c r="X105">
        <v>8137</v>
      </c>
      <c r="Y105">
        <v>10924</v>
      </c>
      <c r="Z105">
        <v>595781</v>
      </c>
    </row>
    <row r="106" spans="1:26" x14ac:dyDescent="0.25">
      <c r="A106">
        <v>1988</v>
      </c>
      <c r="B106" t="s">
        <v>58</v>
      </c>
      <c r="C106">
        <v>64286</v>
      </c>
      <c r="D106">
        <v>237806</v>
      </c>
      <c r="E106">
        <v>12424507</v>
      </c>
      <c r="F106">
        <v>12241192</v>
      </c>
      <c r="G106">
        <v>24743</v>
      </c>
      <c r="H106">
        <v>10.622</v>
      </c>
      <c r="I106">
        <v>14998</v>
      </c>
      <c r="J106">
        <v>6.4390000000000001</v>
      </c>
      <c r="K106">
        <v>2302562</v>
      </c>
      <c r="L106">
        <v>746802</v>
      </c>
      <c r="M106">
        <v>1555760</v>
      </c>
      <c r="N106">
        <v>6.101</v>
      </c>
      <c r="O106">
        <v>18.809999999999999</v>
      </c>
      <c r="P106">
        <v>1933967</v>
      </c>
      <c r="Q106">
        <v>560860</v>
      </c>
      <c r="R106">
        <v>1373107</v>
      </c>
      <c r="S106">
        <v>4.5819999999999999</v>
      </c>
      <c r="T106">
        <v>15.798999999999999</v>
      </c>
      <c r="U106">
        <v>368595</v>
      </c>
      <c r="V106">
        <v>3.0110000000000001</v>
      </c>
      <c r="W106">
        <v>31.597999999999999</v>
      </c>
      <c r="X106">
        <v>781</v>
      </c>
      <c r="Y106">
        <v>2168</v>
      </c>
      <c r="Z106">
        <v>278886</v>
      </c>
    </row>
    <row r="107" spans="1:26" x14ac:dyDescent="0.25">
      <c r="A107">
        <v>1988</v>
      </c>
      <c r="B107" t="s">
        <v>59</v>
      </c>
      <c r="C107">
        <v>7538</v>
      </c>
      <c r="D107">
        <v>75390</v>
      </c>
      <c r="E107">
        <v>4514921</v>
      </c>
      <c r="F107">
        <v>4449839</v>
      </c>
      <c r="G107">
        <v>8445</v>
      </c>
      <c r="H107">
        <v>11.436</v>
      </c>
      <c r="I107">
        <v>5360</v>
      </c>
      <c r="J107">
        <v>7.258</v>
      </c>
      <c r="K107">
        <v>777551</v>
      </c>
      <c r="L107">
        <v>268828</v>
      </c>
      <c r="M107">
        <v>508723</v>
      </c>
      <c r="N107">
        <v>6.0410000000000004</v>
      </c>
      <c r="O107">
        <v>17.474</v>
      </c>
      <c r="P107">
        <v>650345</v>
      </c>
      <c r="Q107">
        <v>195114</v>
      </c>
      <c r="R107">
        <v>455231</v>
      </c>
      <c r="S107">
        <v>4.3849999999999998</v>
      </c>
      <c r="T107">
        <v>14.615</v>
      </c>
      <c r="U107">
        <v>127206</v>
      </c>
      <c r="V107">
        <v>2.859</v>
      </c>
      <c r="W107">
        <v>29.23</v>
      </c>
      <c r="X107">
        <v>36</v>
      </c>
      <c r="Y107">
        <v>197</v>
      </c>
      <c r="Z107">
        <v>49706</v>
      </c>
    </row>
    <row r="108" spans="1:26" x14ac:dyDescent="0.25">
      <c r="A108">
        <v>1988</v>
      </c>
      <c r="B108" t="s">
        <v>60</v>
      </c>
      <c r="C108">
        <v>4766</v>
      </c>
      <c r="D108">
        <v>92449</v>
      </c>
      <c r="E108">
        <v>6113278</v>
      </c>
      <c r="F108">
        <v>5980600</v>
      </c>
      <c r="G108">
        <v>11713</v>
      </c>
      <c r="H108">
        <v>13.048999999999999</v>
      </c>
      <c r="I108">
        <v>6345</v>
      </c>
      <c r="J108">
        <v>7.0679999999999996</v>
      </c>
      <c r="K108">
        <v>1007468</v>
      </c>
      <c r="L108">
        <v>391142</v>
      </c>
      <c r="M108">
        <v>616326</v>
      </c>
      <c r="N108">
        <v>6.54</v>
      </c>
      <c r="O108">
        <v>16.846</v>
      </c>
      <c r="P108">
        <v>739489</v>
      </c>
      <c r="Q108">
        <v>248946</v>
      </c>
      <c r="R108">
        <v>490543</v>
      </c>
      <c r="S108">
        <v>4.1630000000000003</v>
      </c>
      <c r="T108">
        <v>12.365</v>
      </c>
      <c r="U108">
        <v>267979</v>
      </c>
      <c r="V108">
        <v>4.4809999999999999</v>
      </c>
      <c r="W108">
        <v>24.73</v>
      </c>
      <c r="X108">
        <v>18</v>
      </c>
      <c r="Y108">
        <v>153</v>
      </c>
      <c r="Z108">
        <v>51424</v>
      </c>
    </row>
    <row r="109" spans="1:26" x14ac:dyDescent="0.25">
      <c r="A109">
        <v>1988</v>
      </c>
      <c r="B109" t="s">
        <v>61</v>
      </c>
      <c r="C109">
        <v>1844</v>
      </c>
      <c r="D109">
        <v>76622</v>
      </c>
      <c r="E109">
        <v>4300386</v>
      </c>
      <c r="F109">
        <v>4230806</v>
      </c>
      <c r="G109">
        <v>8467</v>
      </c>
      <c r="H109">
        <v>11.18</v>
      </c>
      <c r="I109">
        <v>6685</v>
      </c>
      <c r="J109">
        <v>8.827</v>
      </c>
      <c r="K109">
        <v>683784</v>
      </c>
      <c r="L109">
        <v>291400</v>
      </c>
      <c r="M109">
        <v>392384</v>
      </c>
      <c r="N109">
        <v>6.8879999999999999</v>
      </c>
      <c r="O109">
        <v>16.161999999999999</v>
      </c>
      <c r="P109">
        <v>544318</v>
      </c>
      <c r="Q109">
        <v>192586</v>
      </c>
      <c r="R109">
        <v>351732</v>
      </c>
      <c r="S109">
        <v>4.5519999999999996</v>
      </c>
      <c r="T109">
        <v>12.866</v>
      </c>
      <c r="U109">
        <v>139466</v>
      </c>
      <c r="V109">
        <v>3.2959999999999998</v>
      </c>
      <c r="W109">
        <v>25.731000000000002</v>
      </c>
      <c r="X109">
        <v>3</v>
      </c>
      <c r="Y109">
        <v>119</v>
      </c>
      <c r="Z109">
        <v>20790</v>
      </c>
    </row>
    <row r="110" spans="1:26" x14ac:dyDescent="0.25">
      <c r="A110">
        <v>1988</v>
      </c>
      <c r="B110" t="s">
        <v>63</v>
      </c>
      <c r="C110">
        <v>1094</v>
      </c>
      <c r="D110">
        <v>78809</v>
      </c>
      <c r="E110">
        <v>4615053</v>
      </c>
      <c r="F110">
        <v>4607495</v>
      </c>
      <c r="G110">
        <v>8490</v>
      </c>
      <c r="H110">
        <v>10.866</v>
      </c>
      <c r="I110">
        <v>7144</v>
      </c>
      <c r="J110">
        <v>9.1430000000000007</v>
      </c>
      <c r="K110">
        <v>712470</v>
      </c>
      <c r="L110">
        <v>256100</v>
      </c>
      <c r="M110">
        <v>456370</v>
      </c>
      <c r="N110">
        <v>5.5579999999999998</v>
      </c>
      <c r="O110">
        <v>15.462999999999999</v>
      </c>
      <c r="P110">
        <v>696474</v>
      </c>
      <c r="Q110">
        <v>233713</v>
      </c>
      <c r="R110">
        <v>462761</v>
      </c>
      <c r="S110">
        <v>5.0720000000000001</v>
      </c>
      <c r="T110">
        <v>15.116</v>
      </c>
      <c r="U110">
        <v>15996</v>
      </c>
      <c r="V110">
        <v>0.34699999999999998</v>
      </c>
      <c r="W110">
        <v>30.231999999999999</v>
      </c>
      <c r="X110" t="s">
        <v>62</v>
      </c>
      <c r="Y110" t="s">
        <v>62</v>
      </c>
      <c r="Z110" t="s">
        <v>62</v>
      </c>
    </row>
    <row r="111" spans="1:26" x14ac:dyDescent="0.25">
      <c r="A111">
        <v>1988</v>
      </c>
      <c r="B111" t="s">
        <v>64</v>
      </c>
      <c r="C111">
        <v>986</v>
      </c>
      <c r="D111">
        <v>326146</v>
      </c>
      <c r="E111">
        <v>20633083</v>
      </c>
      <c r="F111">
        <v>20500285</v>
      </c>
      <c r="G111">
        <v>35388</v>
      </c>
      <c r="H111">
        <v>10.996</v>
      </c>
      <c r="I111">
        <v>26728</v>
      </c>
      <c r="J111">
        <v>8.3049999999999997</v>
      </c>
      <c r="K111">
        <v>2845291</v>
      </c>
      <c r="L111">
        <v>953375</v>
      </c>
      <c r="M111">
        <v>1891916</v>
      </c>
      <c r="N111">
        <v>4.6509999999999998</v>
      </c>
      <c r="O111">
        <v>13.879</v>
      </c>
      <c r="P111">
        <v>2587188</v>
      </c>
      <c r="Q111">
        <v>785699</v>
      </c>
      <c r="R111">
        <v>1801489</v>
      </c>
      <c r="S111">
        <v>3.8330000000000002</v>
      </c>
      <c r="T111">
        <v>12.62</v>
      </c>
      <c r="U111">
        <v>258103</v>
      </c>
      <c r="V111">
        <v>1.2589999999999999</v>
      </c>
      <c r="W111">
        <v>25.241</v>
      </c>
      <c r="X111">
        <v>0</v>
      </c>
      <c r="Y111">
        <v>0</v>
      </c>
      <c r="Z111">
        <v>0</v>
      </c>
    </row>
    <row r="112" spans="1:26" x14ac:dyDescent="0.25">
      <c r="A112">
        <v>1989</v>
      </c>
      <c r="B112" t="s">
        <v>54</v>
      </c>
      <c r="C112">
        <v>2518712</v>
      </c>
      <c r="D112">
        <v>2526977</v>
      </c>
      <c r="E112">
        <v>6126283</v>
      </c>
      <c r="F112">
        <v>5987929</v>
      </c>
      <c r="G112">
        <v>529633</v>
      </c>
      <c r="H112">
        <v>21.259</v>
      </c>
      <c r="I112">
        <v>458446</v>
      </c>
      <c r="J112">
        <v>18.401</v>
      </c>
      <c r="K112">
        <v>2135277</v>
      </c>
      <c r="L112">
        <v>1406652</v>
      </c>
      <c r="M112">
        <v>728625</v>
      </c>
      <c r="N112">
        <v>23.491</v>
      </c>
      <c r="O112">
        <v>35.659999999999997</v>
      </c>
      <c r="P112">
        <v>1856930</v>
      </c>
      <c r="Q112">
        <v>1186920</v>
      </c>
      <c r="R112">
        <v>670010</v>
      </c>
      <c r="S112">
        <v>19.821999999999999</v>
      </c>
      <c r="T112">
        <v>31.010999999999999</v>
      </c>
      <c r="U112">
        <v>278347</v>
      </c>
      <c r="V112">
        <v>4.6479999999999997</v>
      </c>
      <c r="W112">
        <v>62.021999999999998</v>
      </c>
      <c r="X112">
        <v>373195</v>
      </c>
      <c r="Y112">
        <v>375368</v>
      </c>
      <c r="Z112">
        <v>995634</v>
      </c>
    </row>
    <row r="113" spans="1:26" x14ac:dyDescent="0.25">
      <c r="A113">
        <v>1989</v>
      </c>
      <c r="B113" t="s">
        <v>55</v>
      </c>
      <c r="C113">
        <v>865918</v>
      </c>
      <c r="D113">
        <v>888218</v>
      </c>
      <c r="E113">
        <v>6215103</v>
      </c>
      <c r="F113">
        <v>6109767</v>
      </c>
      <c r="G113">
        <v>45486</v>
      </c>
      <c r="H113">
        <v>5.1379999999999999</v>
      </c>
      <c r="I113">
        <v>39768</v>
      </c>
      <c r="J113">
        <v>4.492</v>
      </c>
      <c r="K113">
        <v>1416822</v>
      </c>
      <c r="L113">
        <v>549818</v>
      </c>
      <c r="M113">
        <v>867004</v>
      </c>
      <c r="N113">
        <v>8.9990000000000006</v>
      </c>
      <c r="O113">
        <v>23.189</v>
      </c>
      <c r="P113">
        <v>1206949</v>
      </c>
      <c r="Q113">
        <v>489907</v>
      </c>
      <c r="R113">
        <v>717042</v>
      </c>
      <c r="S113">
        <v>8.0180000000000007</v>
      </c>
      <c r="T113">
        <v>19.754000000000001</v>
      </c>
      <c r="U113">
        <v>209873</v>
      </c>
      <c r="V113">
        <v>3.4350000000000001</v>
      </c>
      <c r="W113">
        <v>39.509</v>
      </c>
      <c r="X113">
        <v>32377</v>
      </c>
      <c r="Y113">
        <v>34401</v>
      </c>
      <c r="Z113">
        <v>430200</v>
      </c>
    </row>
    <row r="114" spans="1:26" x14ac:dyDescent="0.25">
      <c r="A114">
        <v>1989</v>
      </c>
      <c r="B114" t="s">
        <v>56</v>
      </c>
      <c r="C114">
        <v>512503</v>
      </c>
      <c r="D114">
        <v>558208</v>
      </c>
      <c r="E114">
        <v>7331309</v>
      </c>
      <c r="F114">
        <v>7201333</v>
      </c>
      <c r="G114">
        <v>22648</v>
      </c>
      <c r="H114">
        <v>4.0659999999999998</v>
      </c>
      <c r="I114">
        <v>20190</v>
      </c>
      <c r="J114">
        <v>3.625</v>
      </c>
      <c r="K114">
        <v>1471562</v>
      </c>
      <c r="L114">
        <v>476283</v>
      </c>
      <c r="M114">
        <v>995279</v>
      </c>
      <c r="N114">
        <v>6.6139999999999999</v>
      </c>
      <c r="O114">
        <v>20.434999999999999</v>
      </c>
      <c r="P114">
        <v>1211325</v>
      </c>
      <c r="Q114">
        <v>442147</v>
      </c>
      <c r="R114">
        <v>769178</v>
      </c>
      <c r="S114">
        <v>6.14</v>
      </c>
      <c r="T114">
        <v>16.821000000000002</v>
      </c>
      <c r="U114">
        <v>260237</v>
      </c>
      <c r="V114">
        <v>3.6139999999999999</v>
      </c>
      <c r="W114">
        <v>33.642000000000003</v>
      </c>
      <c r="X114">
        <v>14368</v>
      </c>
      <c r="Y114">
        <v>16812</v>
      </c>
      <c r="Z114">
        <v>388050</v>
      </c>
    </row>
    <row r="115" spans="1:26" x14ac:dyDescent="0.25">
      <c r="A115">
        <v>1989</v>
      </c>
      <c r="B115" t="s">
        <v>57</v>
      </c>
      <c r="C115">
        <v>415673</v>
      </c>
      <c r="D115">
        <v>572559</v>
      </c>
      <c r="E115">
        <v>16998502</v>
      </c>
      <c r="F115">
        <v>16657878</v>
      </c>
      <c r="G115">
        <v>30323</v>
      </c>
      <c r="H115">
        <v>5.3310000000000004</v>
      </c>
      <c r="I115">
        <v>22712</v>
      </c>
      <c r="J115">
        <v>3.9929999999999999</v>
      </c>
      <c r="K115">
        <v>3120629</v>
      </c>
      <c r="L115">
        <v>890712</v>
      </c>
      <c r="M115">
        <v>2229917</v>
      </c>
      <c r="N115">
        <v>5.3470000000000004</v>
      </c>
      <c r="O115">
        <v>18.734000000000002</v>
      </c>
      <c r="P115">
        <v>2440032</v>
      </c>
      <c r="Q115">
        <v>832314</v>
      </c>
      <c r="R115">
        <v>1607718</v>
      </c>
      <c r="S115">
        <v>4.9969999999999999</v>
      </c>
      <c r="T115">
        <v>14.648</v>
      </c>
      <c r="U115">
        <v>680597</v>
      </c>
      <c r="V115">
        <v>4.0860000000000003</v>
      </c>
      <c r="W115">
        <v>29.295999999999999</v>
      </c>
      <c r="X115">
        <v>8822</v>
      </c>
      <c r="Y115">
        <v>12270</v>
      </c>
      <c r="Z115">
        <v>640169</v>
      </c>
    </row>
    <row r="116" spans="1:26" x14ac:dyDescent="0.25">
      <c r="A116">
        <v>1989</v>
      </c>
      <c r="B116" t="s">
        <v>58</v>
      </c>
      <c r="C116">
        <v>66808</v>
      </c>
      <c r="D116">
        <v>245477</v>
      </c>
      <c r="E116">
        <v>12961542</v>
      </c>
      <c r="F116">
        <v>12676255</v>
      </c>
      <c r="G116">
        <v>21962</v>
      </c>
      <c r="H116">
        <v>9.0660000000000007</v>
      </c>
      <c r="I116">
        <v>15525</v>
      </c>
      <c r="J116">
        <v>6.4080000000000004</v>
      </c>
      <c r="K116">
        <v>2270055</v>
      </c>
      <c r="L116">
        <v>649763</v>
      </c>
      <c r="M116">
        <v>1620292</v>
      </c>
      <c r="N116">
        <v>5.1260000000000003</v>
      </c>
      <c r="O116">
        <v>17.908000000000001</v>
      </c>
      <c r="P116">
        <v>1697566</v>
      </c>
      <c r="Q116">
        <v>526055</v>
      </c>
      <c r="R116">
        <v>1171511</v>
      </c>
      <c r="S116">
        <v>4.1500000000000004</v>
      </c>
      <c r="T116">
        <v>13.391999999999999</v>
      </c>
      <c r="U116">
        <v>572489</v>
      </c>
      <c r="V116">
        <v>4.516</v>
      </c>
      <c r="W116">
        <v>26.783000000000001</v>
      </c>
      <c r="X116">
        <v>698</v>
      </c>
      <c r="Y116">
        <v>2466</v>
      </c>
      <c r="Z116">
        <v>233872</v>
      </c>
    </row>
    <row r="117" spans="1:26" x14ac:dyDescent="0.25">
      <c r="A117">
        <v>1989</v>
      </c>
      <c r="B117" t="s">
        <v>59</v>
      </c>
      <c r="C117">
        <v>7759</v>
      </c>
      <c r="D117">
        <v>79090</v>
      </c>
      <c r="E117">
        <v>4651716</v>
      </c>
      <c r="F117">
        <v>4556642</v>
      </c>
      <c r="G117">
        <v>8321</v>
      </c>
      <c r="H117">
        <v>10.744999999999999</v>
      </c>
      <c r="I117">
        <v>5016</v>
      </c>
      <c r="J117">
        <v>6.4770000000000003</v>
      </c>
      <c r="K117">
        <v>720116</v>
      </c>
      <c r="L117">
        <v>229171</v>
      </c>
      <c r="M117">
        <v>490945</v>
      </c>
      <c r="N117">
        <v>5.0289999999999999</v>
      </c>
      <c r="O117">
        <v>15.804</v>
      </c>
      <c r="P117">
        <v>527700</v>
      </c>
      <c r="Q117">
        <v>156665</v>
      </c>
      <c r="R117">
        <v>371035</v>
      </c>
      <c r="S117">
        <v>3.4380000000000002</v>
      </c>
      <c r="T117">
        <v>11.581</v>
      </c>
      <c r="U117">
        <v>192416</v>
      </c>
      <c r="V117">
        <v>4.2229999999999999</v>
      </c>
      <c r="W117">
        <v>23.161999999999999</v>
      </c>
      <c r="X117">
        <v>24</v>
      </c>
      <c r="Y117">
        <v>287</v>
      </c>
      <c r="Z117">
        <v>33475</v>
      </c>
    </row>
    <row r="118" spans="1:26" x14ac:dyDescent="0.25">
      <c r="A118">
        <v>1989</v>
      </c>
      <c r="B118" t="s">
        <v>60</v>
      </c>
      <c r="C118">
        <v>5055</v>
      </c>
      <c r="D118">
        <v>97679</v>
      </c>
      <c r="E118">
        <v>6437366</v>
      </c>
      <c r="F118">
        <v>6302032</v>
      </c>
      <c r="G118">
        <v>10693</v>
      </c>
      <c r="H118">
        <v>11.202999999999999</v>
      </c>
      <c r="I118">
        <v>6235</v>
      </c>
      <c r="J118">
        <v>6.532</v>
      </c>
      <c r="K118">
        <v>942840</v>
      </c>
      <c r="L118">
        <v>302654</v>
      </c>
      <c r="M118">
        <v>640186</v>
      </c>
      <c r="N118">
        <v>4.8019999999999996</v>
      </c>
      <c r="O118">
        <v>14.961</v>
      </c>
      <c r="P118">
        <v>676077</v>
      </c>
      <c r="Q118">
        <v>207379</v>
      </c>
      <c r="R118">
        <v>468698</v>
      </c>
      <c r="S118">
        <v>3.2909999999999999</v>
      </c>
      <c r="T118">
        <v>10.728</v>
      </c>
      <c r="U118">
        <v>266763</v>
      </c>
      <c r="V118">
        <v>4.2329999999999997</v>
      </c>
      <c r="W118">
        <v>21.456</v>
      </c>
      <c r="X118">
        <v>17</v>
      </c>
      <c r="Y118">
        <v>149</v>
      </c>
      <c r="Z118">
        <v>46456</v>
      </c>
    </row>
    <row r="119" spans="1:26" x14ac:dyDescent="0.25">
      <c r="A119">
        <v>1989</v>
      </c>
      <c r="B119" t="s">
        <v>61</v>
      </c>
      <c r="C119">
        <v>1947</v>
      </c>
      <c r="D119">
        <v>82346</v>
      </c>
      <c r="E119">
        <v>4628776</v>
      </c>
      <c r="F119">
        <v>4539954</v>
      </c>
      <c r="G119">
        <v>8137</v>
      </c>
      <c r="H119">
        <v>10.048</v>
      </c>
      <c r="I119">
        <v>5410</v>
      </c>
      <c r="J119">
        <v>6.68</v>
      </c>
      <c r="K119">
        <v>688293</v>
      </c>
      <c r="L119">
        <v>251508</v>
      </c>
      <c r="M119">
        <v>436785</v>
      </c>
      <c r="N119">
        <v>5.54</v>
      </c>
      <c r="O119">
        <v>15.161</v>
      </c>
      <c r="P119">
        <v>511786</v>
      </c>
      <c r="Q119">
        <v>163448</v>
      </c>
      <c r="R119">
        <v>348338</v>
      </c>
      <c r="S119">
        <v>3.6</v>
      </c>
      <c r="T119">
        <v>11.273</v>
      </c>
      <c r="U119">
        <v>176507</v>
      </c>
      <c r="V119">
        <v>3.8879999999999999</v>
      </c>
      <c r="W119">
        <v>22.545999999999999</v>
      </c>
      <c r="X119">
        <v>3</v>
      </c>
      <c r="Y119">
        <v>3</v>
      </c>
      <c r="Z119">
        <v>18150</v>
      </c>
    </row>
    <row r="120" spans="1:26" x14ac:dyDescent="0.25">
      <c r="A120">
        <v>1989</v>
      </c>
      <c r="B120" t="s">
        <v>63</v>
      </c>
      <c r="C120">
        <v>1122</v>
      </c>
      <c r="D120">
        <v>84354</v>
      </c>
      <c r="E120">
        <v>4775948</v>
      </c>
      <c r="F120">
        <v>4728969</v>
      </c>
      <c r="G120">
        <v>6905</v>
      </c>
      <c r="H120">
        <v>8.2119999999999997</v>
      </c>
      <c r="I120">
        <v>6374</v>
      </c>
      <c r="J120">
        <v>7.58</v>
      </c>
      <c r="K120">
        <v>685876</v>
      </c>
      <c r="L120">
        <v>226600</v>
      </c>
      <c r="M120">
        <v>459276</v>
      </c>
      <c r="N120">
        <v>4.7919999999999998</v>
      </c>
      <c r="O120">
        <v>14.504</v>
      </c>
      <c r="P120">
        <v>587068</v>
      </c>
      <c r="Q120">
        <v>181061</v>
      </c>
      <c r="R120">
        <v>406007</v>
      </c>
      <c r="S120">
        <v>3.8290000000000002</v>
      </c>
      <c r="T120">
        <v>12.414</v>
      </c>
      <c r="U120">
        <v>98808</v>
      </c>
      <c r="V120">
        <v>2.089</v>
      </c>
      <c r="W120">
        <v>24.829000000000001</v>
      </c>
      <c r="X120">
        <v>0</v>
      </c>
      <c r="Y120">
        <v>0</v>
      </c>
      <c r="Z120">
        <v>0</v>
      </c>
    </row>
    <row r="121" spans="1:26" x14ac:dyDescent="0.25">
      <c r="A121">
        <v>1989</v>
      </c>
      <c r="B121" t="s">
        <v>64</v>
      </c>
      <c r="C121">
        <v>1049</v>
      </c>
      <c r="D121">
        <v>337853</v>
      </c>
      <c r="E121">
        <v>21226507</v>
      </c>
      <c r="F121">
        <v>21128149</v>
      </c>
      <c r="G121">
        <v>40050</v>
      </c>
      <c r="H121">
        <v>11.976000000000001</v>
      </c>
      <c r="I121">
        <v>33187</v>
      </c>
      <c r="J121">
        <v>9.9239999999999995</v>
      </c>
      <c r="K121">
        <v>2825276</v>
      </c>
      <c r="L121">
        <v>964134</v>
      </c>
      <c r="M121">
        <v>1861142</v>
      </c>
      <c r="N121">
        <v>4.5629999999999997</v>
      </c>
      <c r="O121">
        <v>13.372</v>
      </c>
      <c r="P121">
        <v>2656673</v>
      </c>
      <c r="Q121">
        <v>802164</v>
      </c>
      <c r="R121">
        <v>1854509</v>
      </c>
      <c r="S121">
        <v>3.7970000000000002</v>
      </c>
      <c r="T121">
        <v>12.574</v>
      </c>
      <c r="U121">
        <v>168603</v>
      </c>
      <c r="V121">
        <v>0.79800000000000004</v>
      </c>
      <c r="W121">
        <v>25.148</v>
      </c>
      <c r="X121">
        <v>0</v>
      </c>
      <c r="Y121">
        <v>0</v>
      </c>
      <c r="Z121">
        <v>0</v>
      </c>
    </row>
    <row r="122" spans="1:26" x14ac:dyDescent="0.25">
      <c r="A122">
        <v>1990</v>
      </c>
      <c r="B122" t="s">
        <v>54</v>
      </c>
      <c r="C122">
        <v>2540734</v>
      </c>
      <c r="D122">
        <v>2549159</v>
      </c>
      <c r="E122">
        <v>6181562</v>
      </c>
      <c r="F122">
        <v>6052659</v>
      </c>
      <c r="G122">
        <v>523871</v>
      </c>
      <c r="H122">
        <v>20.806999999999999</v>
      </c>
      <c r="I122">
        <v>460981</v>
      </c>
      <c r="J122">
        <v>18.309999999999999</v>
      </c>
      <c r="K122">
        <v>2129801</v>
      </c>
      <c r="L122">
        <v>1393588</v>
      </c>
      <c r="M122">
        <v>736213</v>
      </c>
      <c r="N122">
        <v>23.024000000000001</v>
      </c>
      <c r="O122">
        <v>35.188000000000002</v>
      </c>
      <c r="P122">
        <v>1871821</v>
      </c>
      <c r="Q122">
        <v>1192478</v>
      </c>
      <c r="R122">
        <v>679343</v>
      </c>
      <c r="S122">
        <v>19.702000000000002</v>
      </c>
      <c r="T122">
        <v>30.925999999999998</v>
      </c>
      <c r="U122">
        <v>257980</v>
      </c>
      <c r="V122">
        <v>4.2619999999999996</v>
      </c>
      <c r="W122">
        <v>61.850999999999999</v>
      </c>
      <c r="X122">
        <v>377086</v>
      </c>
      <c r="Y122">
        <v>379764</v>
      </c>
      <c r="Z122">
        <v>1007727</v>
      </c>
    </row>
    <row r="123" spans="1:26" x14ac:dyDescent="0.25">
      <c r="A123">
        <v>1990</v>
      </c>
      <c r="B123" t="s">
        <v>55</v>
      </c>
      <c r="C123">
        <v>880675</v>
      </c>
      <c r="D123">
        <v>903539</v>
      </c>
      <c r="E123">
        <v>6287564</v>
      </c>
      <c r="F123">
        <v>6214507</v>
      </c>
      <c r="G123">
        <v>43455</v>
      </c>
      <c r="H123">
        <v>4.8179999999999996</v>
      </c>
      <c r="I123">
        <v>40261</v>
      </c>
      <c r="J123">
        <v>4.4640000000000004</v>
      </c>
      <c r="K123">
        <v>1395327</v>
      </c>
      <c r="L123">
        <v>527206</v>
      </c>
      <c r="M123">
        <v>868121</v>
      </c>
      <c r="N123">
        <v>8.4830000000000005</v>
      </c>
      <c r="O123">
        <v>22.452999999999999</v>
      </c>
      <c r="P123">
        <v>1250025</v>
      </c>
      <c r="Q123">
        <v>494039</v>
      </c>
      <c r="R123">
        <v>755986</v>
      </c>
      <c r="S123">
        <v>7.95</v>
      </c>
      <c r="T123">
        <v>20.114999999999998</v>
      </c>
      <c r="U123">
        <v>145302</v>
      </c>
      <c r="V123">
        <v>2.3380000000000001</v>
      </c>
      <c r="W123">
        <v>40.228999999999999</v>
      </c>
      <c r="X123">
        <v>32862</v>
      </c>
      <c r="Y123">
        <v>35054</v>
      </c>
      <c r="Z123">
        <v>436173</v>
      </c>
    </row>
    <row r="124" spans="1:26" x14ac:dyDescent="0.25">
      <c r="A124">
        <v>1990</v>
      </c>
      <c r="B124" t="s">
        <v>56</v>
      </c>
      <c r="C124">
        <v>523579</v>
      </c>
      <c r="D124">
        <v>569190</v>
      </c>
      <c r="E124">
        <v>7448526</v>
      </c>
      <c r="F124">
        <v>7360070</v>
      </c>
      <c r="G124">
        <v>21557</v>
      </c>
      <c r="H124">
        <v>3.7930000000000001</v>
      </c>
      <c r="I124">
        <v>19941</v>
      </c>
      <c r="J124">
        <v>3.508</v>
      </c>
      <c r="K124">
        <v>1448796</v>
      </c>
      <c r="L124">
        <v>462077</v>
      </c>
      <c r="M124">
        <v>986719</v>
      </c>
      <c r="N124">
        <v>6.2779999999999996</v>
      </c>
      <c r="O124">
        <v>19.684999999999999</v>
      </c>
      <c r="P124">
        <v>1272692</v>
      </c>
      <c r="Q124">
        <v>448080</v>
      </c>
      <c r="R124">
        <v>824612</v>
      </c>
      <c r="S124">
        <v>6.0880000000000001</v>
      </c>
      <c r="T124">
        <v>17.292000000000002</v>
      </c>
      <c r="U124">
        <v>176104</v>
      </c>
      <c r="V124">
        <v>2.3929999999999998</v>
      </c>
      <c r="W124">
        <v>34.584000000000003</v>
      </c>
      <c r="X124">
        <v>14848</v>
      </c>
      <c r="Y124">
        <v>16941</v>
      </c>
      <c r="Z124">
        <v>399559</v>
      </c>
    </row>
    <row r="125" spans="1:26" x14ac:dyDescent="0.25">
      <c r="A125">
        <v>1990</v>
      </c>
      <c r="B125" t="s">
        <v>57</v>
      </c>
      <c r="C125">
        <v>428357</v>
      </c>
      <c r="D125">
        <v>586304</v>
      </c>
      <c r="E125">
        <v>17331455</v>
      </c>
      <c r="F125">
        <v>17115335</v>
      </c>
      <c r="G125">
        <v>28260</v>
      </c>
      <c r="H125">
        <v>4.8520000000000003</v>
      </c>
      <c r="I125">
        <v>20632</v>
      </c>
      <c r="J125">
        <v>3.5419999999999998</v>
      </c>
      <c r="K125">
        <v>2960612</v>
      </c>
      <c r="L125">
        <v>852510</v>
      </c>
      <c r="M125">
        <v>2108102</v>
      </c>
      <c r="N125">
        <v>4.9809999999999999</v>
      </c>
      <c r="O125">
        <v>17.297999999999998</v>
      </c>
      <c r="P125">
        <v>2530064</v>
      </c>
      <c r="Q125">
        <v>752770</v>
      </c>
      <c r="R125">
        <v>1777294</v>
      </c>
      <c r="S125">
        <v>4.3979999999999997</v>
      </c>
      <c r="T125">
        <v>14.782</v>
      </c>
      <c r="U125">
        <v>430548</v>
      </c>
      <c r="V125">
        <v>2.516</v>
      </c>
      <c r="W125">
        <v>29.565000000000001</v>
      </c>
      <c r="X125">
        <v>8374</v>
      </c>
      <c r="Y125">
        <v>11168</v>
      </c>
      <c r="Z125">
        <v>600983</v>
      </c>
    </row>
    <row r="126" spans="1:26" x14ac:dyDescent="0.25">
      <c r="A126">
        <v>1990</v>
      </c>
      <c r="B126" t="s">
        <v>58</v>
      </c>
      <c r="C126">
        <v>69054</v>
      </c>
      <c r="D126">
        <v>254484</v>
      </c>
      <c r="E126">
        <v>13256293</v>
      </c>
      <c r="F126">
        <v>13103803</v>
      </c>
      <c r="G126">
        <v>20354</v>
      </c>
      <c r="H126">
        <v>8.09</v>
      </c>
      <c r="I126">
        <v>14576</v>
      </c>
      <c r="J126">
        <v>5.7930000000000001</v>
      </c>
      <c r="K126">
        <v>2066589</v>
      </c>
      <c r="L126">
        <v>611610</v>
      </c>
      <c r="M126">
        <v>1454979</v>
      </c>
      <c r="N126">
        <v>4.6669999999999998</v>
      </c>
      <c r="O126">
        <v>15.771000000000001</v>
      </c>
      <c r="P126">
        <v>1762386</v>
      </c>
      <c r="Q126">
        <v>478212</v>
      </c>
      <c r="R126">
        <v>1284174</v>
      </c>
      <c r="S126">
        <v>3.649</v>
      </c>
      <c r="T126">
        <v>13.449</v>
      </c>
      <c r="U126">
        <v>304203</v>
      </c>
      <c r="V126">
        <v>2.3210000000000002</v>
      </c>
      <c r="W126">
        <v>26.899000000000001</v>
      </c>
      <c r="X126">
        <v>707</v>
      </c>
      <c r="Y126">
        <v>1911</v>
      </c>
      <c r="Z126">
        <v>237237</v>
      </c>
    </row>
    <row r="127" spans="1:26" x14ac:dyDescent="0.25">
      <c r="A127">
        <v>1990</v>
      </c>
      <c r="B127" t="s">
        <v>59</v>
      </c>
      <c r="C127">
        <v>7971</v>
      </c>
      <c r="D127">
        <v>83155</v>
      </c>
      <c r="E127">
        <v>4798132</v>
      </c>
      <c r="F127">
        <v>4721702</v>
      </c>
      <c r="G127">
        <v>9305</v>
      </c>
      <c r="H127">
        <v>11.473000000000001</v>
      </c>
      <c r="I127">
        <v>5196</v>
      </c>
      <c r="J127">
        <v>6.407</v>
      </c>
      <c r="K127">
        <v>695120</v>
      </c>
      <c r="L127">
        <v>215601</v>
      </c>
      <c r="M127">
        <v>479519</v>
      </c>
      <c r="N127">
        <v>4.5659999999999998</v>
      </c>
      <c r="O127">
        <v>14.722</v>
      </c>
      <c r="P127">
        <v>541015</v>
      </c>
      <c r="Q127">
        <v>132766</v>
      </c>
      <c r="R127">
        <v>408249</v>
      </c>
      <c r="S127">
        <v>2.8119999999999998</v>
      </c>
      <c r="T127">
        <v>11.458</v>
      </c>
      <c r="U127">
        <v>154105</v>
      </c>
      <c r="V127">
        <v>3.2639999999999998</v>
      </c>
      <c r="W127">
        <v>22.916</v>
      </c>
      <c r="X127">
        <v>15</v>
      </c>
      <c r="Y127">
        <v>41</v>
      </c>
      <c r="Z127">
        <v>20216</v>
      </c>
    </row>
    <row r="128" spans="1:26" x14ac:dyDescent="0.25">
      <c r="A128">
        <v>1990</v>
      </c>
      <c r="B128" t="s">
        <v>60</v>
      </c>
      <c r="C128">
        <v>5123</v>
      </c>
      <c r="D128">
        <v>103230</v>
      </c>
      <c r="E128">
        <v>6615620</v>
      </c>
      <c r="F128">
        <v>6550757</v>
      </c>
      <c r="G128">
        <v>9453</v>
      </c>
      <c r="H128">
        <v>9.2949999999999999</v>
      </c>
      <c r="I128">
        <v>6389</v>
      </c>
      <c r="J128">
        <v>6.282</v>
      </c>
      <c r="K128">
        <v>853058</v>
      </c>
      <c r="L128">
        <v>287713</v>
      </c>
      <c r="M128">
        <v>565345</v>
      </c>
      <c r="N128">
        <v>4.3920000000000003</v>
      </c>
      <c r="O128">
        <v>13.022</v>
      </c>
      <c r="P128">
        <v>724060</v>
      </c>
      <c r="Q128">
        <v>173593</v>
      </c>
      <c r="R128">
        <v>550467</v>
      </c>
      <c r="S128">
        <v>2.65</v>
      </c>
      <c r="T128">
        <v>11.053000000000001</v>
      </c>
      <c r="U128">
        <v>128998</v>
      </c>
      <c r="V128">
        <v>1.9690000000000001</v>
      </c>
      <c r="W128">
        <v>22.106000000000002</v>
      </c>
      <c r="X128">
        <v>5</v>
      </c>
      <c r="Y128">
        <v>5</v>
      </c>
      <c r="Z128">
        <v>12215</v>
      </c>
    </row>
    <row r="129" spans="1:26" x14ac:dyDescent="0.25">
      <c r="A129">
        <v>1990</v>
      </c>
      <c r="B129" t="s">
        <v>61</v>
      </c>
      <c r="C129">
        <v>1946</v>
      </c>
      <c r="D129">
        <v>84010</v>
      </c>
      <c r="E129">
        <v>4787974</v>
      </c>
      <c r="F129">
        <v>4714965</v>
      </c>
      <c r="G129">
        <v>8729</v>
      </c>
      <c r="H129">
        <v>10.622</v>
      </c>
      <c r="I129">
        <v>5059</v>
      </c>
      <c r="J129">
        <v>6.1559999999999997</v>
      </c>
      <c r="K129">
        <v>629888</v>
      </c>
      <c r="L129">
        <v>222129</v>
      </c>
      <c r="M129">
        <v>407759</v>
      </c>
      <c r="N129">
        <v>4.7110000000000003</v>
      </c>
      <c r="O129">
        <v>13.359</v>
      </c>
      <c r="P129">
        <v>481973</v>
      </c>
      <c r="Q129">
        <v>123265</v>
      </c>
      <c r="R129">
        <v>358708</v>
      </c>
      <c r="S129">
        <v>2.6139999999999999</v>
      </c>
      <c r="T129">
        <v>10.222</v>
      </c>
      <c r="U129">
        <v>147915</v>
      </c>
      <c r="V129">
        <v>3.137</v>
      </c>
      <c r="W129">
        <v>20.443999999999999</v>
      </c>
      <c r="X129" t="s">
        <v>62</v>
      </c>
      <c r="Y129" t="s">
        <v>62</v>
      </c>
      <c r="Z129" t="s">
        <v>62</v>
      </c>
    </row>
    <row r="130" spans="1:26" x14ac:dyDescent="0.25">
      <c r="A130">
        <v>1990</v>
      </c>
      <c r="B130" t="s">
        <v>63</v>
      </c>
      <c r="C130">
        <v>1118</v>
      </c>
      <c r="D130">
        <v>87759</v>
      </c>
      <c r="E130">
        <v>4904642</v>
      </c>
      <c r="F130">
        <v>4829648</v>
      </c>
      <c r="G130">
        <v>6589</v>
      </c>
      <c r="H130">
        <v>7.56</v>
      </c>
      <c r="I130">
        <v>5378</v>
      </c>
      <c r="J130">
        <v>6.1710000000000003</v>
      </c>
      <c r="K130">
        <v>674222</v>
      </c>
      <c r="L130">
        <v>208775</v>
      </c>
      <c r="M130">
        <v>465447</v>
      </c>
      <c r="N130">
        <v>4.3230000000000004</v>
      </c>
      <c r="O130">
        <v>13.96</v>
      </c>
      <c r="P130">
        <v>526152</v>
      </c>
      <c r="Q130">
        <v>126504</v>
      </c>
      <c r="R130">
        <v>399648</v>
      </c>
      <c r="S130">
        <v>2.6190000000000002</v>
      </c>
      <c r="T130">
        <v>10.894</v>
      </c>
      <c r="U130">
        <v>148070</v>
      </c>
      <c r="V130">
        <v>3.0659999999999998</v>
      </c>
      <c r="W130">
        <v>21.788</v>
      </c>
      <c r="X130">
        <v>0</v>
      </c>
      <c r="Y130">
        <v>0</v>
      </c>
      <c r="Z130">
        <v>0</v>
      </c>
    </row>
    <row r="131" spans="1:26" x14ac:dyDescent="0.25">
      <c r="A131">
        <v>1990</v>
      </c>
      <c r="B131" t="s">
        <v>64</v>
      </c>
      <c r="C131">
        <v>1078</v>
      </c>
      <c r="D131">
        <v>350306</v>
      </c>
      <c r="E131">
        <v>22074832</v>
      </c>
      <c r="F131">
        <v>21941374</v>
      </c>
      <c r="G131">
        <v>28813</v>
      </c>
      <c r="H131">
        <v>8.2759999999999998</v>
      </c>
      <c r="I131">
        <v>24540</v>
      </c>
      <c r="J131">
        <v>7.048</v>
      </c>
      <c r="K131">
        <v>2648088</v>
      </c>
      <c r="L131">
        <v>784843</v>
      </c>
      <c r="M131">
        <v>1863245</v>
      </c>
      <c r="N131">
        <v>3.577</v>
      </c>
      <c r="O131">
        <v>12.069000000000001</v>
      </c>
      <c r="P131">
        <v>2377425</v>
      </c>
      <c r="Q131">
        <v>643172</v>
      </c>
      <c r="R131">
        <v>1734253</v>
      </c>
      <c r="S131">
        <v>2.931</v>
      </c>
      <c r="T131">
        <v>10.835000000000001</v>
      </c>
      <c r="U131">
        <v>270663</v>
      </c>
      <c r="V131">
        <v>1.234</v>
      </c>
      <c r="W131">
        <v>21.670999999999999</v>
      </c>
      <c r="X131">
        <v>0</v>
      </c>
      <c r="Y131">
        <v>0</v>
      </c>
      <c r="Z131">
        <v>0</v>
      </c>
    </row>
    <row r="132" spans="1:26" x14ac:dyDescent="0.25">
      <c r="A132">
        <v>1991</v>
      </c>
      <c r="B132" t="s">
        <v>54</v>
      </c>
      <c r="C132">
        <v>2527216</v>
      </c>
      <c r="D132">
        <v>2536304</v>
      </c>
      <c r="E132">
        <v>6020405</v>
      </c>
      <c r="F132">
        <v>6074038</v>
      </c>
      <c r="G132">
        <v>481149</v>
      </c>
      <c r="H132">
        <v>18.960999999999999</v>
      </c>
      <c r="I132">
        <v>483576</v>
      </c>
      <c r="J132">
        <v>19.056999999999999</v>
      </c>
      <c r="K132">
        <v>1916928</v>
      </c>
      <c r="L132">
        <v>1254112</v>
      </c>
      <c r="M132">
        <v>662816</v>
      </c>
      <c r="N132">
        <v>20.646999999999998</v>
      </c>
      <c r="O132">
        <v>31.559000000000001</v>
      </c>
      <c r="P132">
        <v>2025902</v>
      </c>
      <c r="Q132">
        <v>1256726</v>
      </c>
      <c r="R132">
        <v>769176</v>
      </c>
      <c r="S132">
        <v>20.69</v>
      </c>
      <c r="T132">
        <v>33.353000000000002</v>
      </c>
      <c r="U132">
        <v>-108974</v>
      </c>
      <c r="V132">
        <v>-1.794</v>
      </c>
      <c r="W132">
        <v>63.119</v>
      </c>
      <c r="X132">
        <v>389572</v>
      </c>
      <c r="Y132">
        <v>392247</v>
      </c>
      <c r="Z132">
        <v>1047931</v>
      </c>
    </row>
    <row r="133" spans="1:26" x14ac:dyDescent="0.25">
      <c r="A133">
        <v>1991</v>
      </c>
      <c r="B133" t="s">
        <v>55</v>
      </c>
      <c r="C133">
        <v>883721</v>
      </c>
      <c r="D133">
        <v>908833</v>
      </c>
      <c r="E133">
        <v>6162126</v>
      </c>
      <c r="F133">
        <v>6235578</v>
      </c>
      <c r="G133">
        <v>44906</v>
      </c>
      <c r="H133">
        <v>4.9480000000000004</v>
      </c>
      <c r="I133">
        <v>42464</v>
      </c>
      <c r="J133">
        <v>4.6790000000000003</v>
      </c>
      <c r="K133">
        <v>1258515</v>
      </c>
      <c r="L133">
        <v>506602</v>
      </c>
      <c r="M133">
        <v>751913</v>
      </c>
      <c r="N133">
        <v>8.1240000000000006</v>
      </c>
      <c r="O133">
        <v>20.183</v>
      </c>
      <c r="P133">
        <v>1404093</v>
      </c>
      <c r="Q133">
        <v>528450</v>
      </c>
      <c r="R133">
        <v>875643</v>
      </c>
      <c r="S133">
        <v>8.4749999999999996</v>
      </c>
      <c r="T133">
        <v>22.516999999999999</v>
      </c>
      <c r="U133">
        <v>-145578</v>
      </c>
      <c r="V133">
        <v>-2.335</v>
      </c>
      <c r="W133">
        <v>40.366</v>
      </c>
      <c r="X133">
        <v>34740</v>
      </c>
      <c r="Y133">
        <v>36498</v>
      </c>
      <c r="Z133">
        <v>462909</v>
      </c>
    </row>
    <row r="134" spans="1:26" x14ac:dyDescent="0.25">
      <c r="A134">
        <v>1991</v>
      </c>
      <c r="B134" t="s">
        <v>56</v>
      </c>
      <c r="C134">
        <v>524588</v>
      </c>
      <c r="D134">
        <v>576822</v>
      </c>
      <c r="E134">
        <v>7240332</v>
      </c>
      <c r="F134">
        <v>7344798</v>
      </c>
      <c r="G134">
        <v>30454</v>
      </c>
      <c r="H134">
        <v>5.3159999999999998</v>
      </c>
      <c r="I134">
        <v>22534</v>
      </c>
      <c r="J134">
        <v>3.9340000000000002</v>
      </c>
      <c r="K134">
        <v>1312056</v>
      </c>
      <c r="L134">
        <v>494397</v>
      </c>
      <c r="M134">
        <v>817659</v>
      </c>
      <c r="N134">
        <v>6.7309999999999999</v>
      </c>
      <c r="O134">
        <v>17.864000000000001</v>
      </c>
      <c r="P134">
        <v>1520876</v>
      </c>
      <c r="Q134">
        <v>514864</v>
      </c>
      <c r="R134">
        <v>1006012</v>
      </c>
      <c r="S134">
        <v>7.01</v>
      </c>
      <c r="T134">
        <v>20.707000000000001</v>
      </c>
      <c r="U134">
        <v>-208820</v>
      </c>
      <c r="V134">
        <v>-2.843</v>
      </c>
      <c r="W134">
        <v>35.726999999999997</v>
      </c>
      <c r="X134">
        <v>16719</v>
      </c>
      <c r="Y134">
        <v>18877</v>
      </c>
      <c r="Z134">
        <v>456044</v>
      </c>
    </row>
    <row r="135" spans="1:26" x14ac:dyDescent="0.25">
      <c r="A135">
        <v>1991</v>
      </c>
      <c r="B135" t="s">
        <v>57</v>
      </c>
      <c r="C135">
        <v>419846</v>
      </c>
      <c r="D135">
        <v>596266</v>
      </c>
      <c r="E135">
        <v>16496811</v>
      </c>
      <c r="F135">
        <v>16831347</v>
      </c>
      <c r="G135">
        <v>45574</v>
      </c>
      <c r="H135">
        <v>7.7480000000000002</v>
      </c>
      <c r="I135">
        <v>29459</v>
      </c>
      <c r="J135">
        <v>5.008</v>
      </c>
      <c r="K135">
        <v>2735858</v>
      </c>
      <c r="L135">
        <v>987609</v>
      </c>
      <c r="M135">
        <v>1748249</v>
      </c>
      <c r="N135">
        <v>5.8680000000000003</v>
      </c>
      <c r="O135">
        <v>16.254999999999999</v>
      </c>
      <c r="P135">
        <v>3404720</v>
      </c>
      <c r="Q135">
        <v>1079120</v>
      </c>
      <c r="R135">
        <v>2325600</v>
      </c>
      <c r="S135">
        <v>6.4109999999999996</v>
      </c>
      <c r="T135">
        <v>20.228000000000002</v>
      </c>
      <c r="U135">
        <v>-668862</v>
      </c>
      <c r="V135">
        <v>-3.9740000000000002</v>
      </c>
      <c r="W135">
        <v>32.509</v>
      </c>
      <c r="X135">
        <v>11564</v>
      </c>
      <c r="Y135">
        <v>15348</v>
      </c>
      <c r="Z135">
        <v>858122</v>
      </c>
    </row>
    <row r="136" spans="1:26" x14ac:dyDescent="0.25">
      <c r="A136">
        <v>1991</v>
      </c>
      <c r="B136" t="s">
        <v>58</v>
      </c>
      <c r="C136">
        <v>67019</v>
      </c>
      <c r="D136">
        <v>261635</v>
      </c>
      <c r="E136">
        <v>12618359</v>
      </c>
      <c r="F136">
        <v>12835192</v>
      </c>
      <c r="G136">
        <v>23823</v>
      </c>
      <c r="H136">
        <v>9.23</v>
      </c>
      <c r="I136">
        <v>16746</v>
      </c>
      <c r="J136">
        <v>6.4880000000000004</v>
      </c>
      <c r="K136">
        <v>1833180</v>
      </c>
      <c r="L136">
        <v>645537</v>
      </c>
      <c r="M136">
        <v>1187643</v>
      </c>
      <c r="N136">
        <v>5.0289999999999999</v>
      </c>
      <c r="O136">
        <v>14.282</v>
      </c>
      <c r="P136">
        <v>2270012</v>
      </c>
      <c r="Q136">
        <v>663699</v>
      </c>
      <c r="R136">
        <v>1606313</v>
      </c>
      <c r="S136">
        <v>5.1710000000000003</v>
      </c>
      <c r="T136">
        <v>17.686</v>
      </c>
      <c r="U136">
        <v>-436832</v>
      </c>
      <c r="V136">
        <v>-3.403</v>
      </c>
      <c r="W136">
        <v>28.565000000000001</v>
      </c>
      <c r="X136">
        <v>1127</v>
      </c>
      <c r="Y136">
        <v>3234</v>
      </c>
      <c r="Z136">
        <v>385163</v>
      </c>
    </row>
    <row r="137" spans="1:26" x14ac:dyDescent="0.25">
      <c r="A137">
        <v>1991</v>
      </c>
      <c r="B137" t="s">
        <v>59</v>
      </c>
      <c r="C137">
        <v>7921</v>
      </c>
      <c r="D137">
        <v>81736</v>
      </c>
      <c r="E137">
        <v>4647875</v>
      </c>
      <c r="F137">
        <v>4702181</v>
      </c>
      <c r="G137">
        <v>8035</v>
      </c>
      <c r="H137">
        <v>9.9410000000000007</v>
      </c>
      <c r="I137">
        <v>6211</v>
      </c>
      <c r="J137">
        <v>7.6849999999999996</v>
      </c>
      <c r="K137">
        <v>602041</v>
      </c>
      <c r="L137">
        <v>206111</v>
      </c>
      <c r="M137">
        <v>395930</v>
      </c>
      <c r="N137">
        <v>4.383</v>
      </c>
      <c r="O137">
        <v>12.803000000000001</v>
      </c>
      <c r="P137">
        <v>711345</v>
      </c>
      <c r="Q137">
        <v>208509</v>
      </c>
      <c r="R137">
        <v>502836</v>
      </c>
      <c r="S137">
        <v>4.4340000000000002</v>
      </c>
      <c r="T137">
        <v>15.128</v>
      </c>
      <c r="U137">
        <v>-109304</v>
      </c>
      <c r="V137">
        <v>-2.3250000000000002</v>
      </c>
      <c r="W137">
        <v>25.606999999999999</v>
      </c>
      <c r="X137">
        <v>53</v>
      </c>
      <c r="Y137">
        <v>320</v>
      </c>
      <c r="Z137">
        <v>71853</v>
      </c>
    </row>
    <row r="138" spans="1:26" x14ac:dyDescent="0.25">
      <c r="A138">
        <v>1991</v>
      </c>
      <c r="B138" t="s">
        <v>60</v>
      </c>
      <c r="C138">
        <v>5166</v>
      </c>
      <c r="D138">
        <v>106812</v>
      </c>
      <c r="E138">
        <v>6579499</v>
      </c>
      <c r="F138">
        <v>6613603</v>
      </c>
      <c r="G138">
        <v>10488</v>
      </c>
      <c r="H138">
        <v>9.9499999999999993</v>
      </c>
      <c r="I138">
        <v>7674</v>
      </c>
      <c r="J138">
        <v>7.28</v>
      </c>
      <c r="K138">
        <v>789599</v>
      </c>
      <c r="L138">
        <v>288927</v>
      </c>
      <c r="M138">
        <v>500672</v>
      </c>
      <c r="N138">
        <v>4.3689999999999998</v>
      </c>
      <c r="O138">
        <v>11.939</v>
      </c>
      <c r="P138">
        <v>860123</v>
      </c>
      <c r="Q138">
        <v>250684</v>
      </c>
      <c r="R138">
        <v>609439</v>
      </c>
      <c r="S138">
        <v>3.79</v>
      </c>
      <c r="T138">
        <v>13.005000000000001</v>
      </c>
      <c r="U138">
        <v>-70524</v>
      </c>
      <c r="V138">
        <v>-1.0660000000000001</v>
      </c>
      <c r="W138">
        <v>23.878</v>
      </c>
      <c r="X138">
        <v>21</v>
      </c>
      <c r="Y138">
        <v>51</v>
      </c>
      <c r="Z138">
        <v>59276</v>
      </c>
    </row>
    <row r="139" spans="1:26" x14ac:dyDescent="0.25">
      <c r="A139">
        <v>1991</v>
      </c>
      <c r="B139" t="s">
        <v>61</v>
      </c>
      <c r="C139">
        <v>1964</v>
      </c>
      <c r="D139">
        <v>83212</v>
      </c>
      <c r="E139">
        <v>4667961</v>
      </c>
      <c r="F139">
        <v>4693098</v>
      </c>
      <c r="G139">
        <v>8879</v>
      </c>
      <c r="H139">
        <v>10.882</v>
      </c>
      <c r="I139">
        <v>5645</v>
      </c>
      <c r="J139">
        <v>6.9180000000000001</v>
      </c>
      <c r="K139">
        <v>540557</v>
      </c>
      <c r="L139">
        <v>195466</v>
      </c>
      <c r="M139">
        <v>345091</v>
      </c>
      <c r="N139">
        <v>4.165</v>
      </c>
      <c r="O139">
        <v>11.518000000000001</v>
      </c>
      <c r="P139">
        <v>591917</v>
      </c>
      <c r="Q139">
        <v>169033</v>
      </c>
      <c r="R139">
        <v>422884</v>
      </c>
      <c r="S139">
        <v>3.6019999999999999</v>
      </c>
      <c r="T139">
        <v>12.613</v>
      </c>
      <c r="U139">
        <v>-51360</v>
      </c>
      <c r="V139">
        <v>-1.0940000000000001</v>
      </c>
      <c r="W139">
        <v>23.036000000000001</v>
      </c>
      <c r="X139" t="s">
        <v>62</v>
      </c>
      <c r="Y139" t="s">
        <v>62</v>
      </c>
      <c r="Z139" t="s">
        <v>62</v>
      </c>
    </row>
    <row r="140" spans="1:26" x14ac:dyDescent="0.25">
      <c r="A140">
        <v>1991</v>
      </c>
      <c r="B140" t="s">
        <v>63</v>
      </c>
      <c r="C140">
        <v>1168</v>
      </c>
      <c r="D140">
        <v>90186</v>
      </c>
      <c r="E140">
        <v>4858450</v>
      </c>
      <c r="F140">
        <v>4889772</v>
      </c>
      <c r="G140">
        <v>6200</v>
      </c>
      <c r="H140">
        <v>6.8689999999999998</v>
      </c>
      <c r="I140">
        <v>6346</v>
      </c>
      <c r="J140">
        <v>7.0309999999999997</v>
      </c>
      <c r="K140">
        <v>541350</v>
      </c>
      <c r="L140">
        <v>168949</v>
      </c>
      <c r="M140">
        <v>372401</v>
      </c>
      <c r="N140">
        <v>3.4550000000000001</v>
      </c>
      <c r="O140">
        <v>11.071</v>
      </c>
      <c r="P140">
        <v>601207</v>
      </c>
      <c r="Q140">
        <v>164377</v>
      </c>
      <c r="R140">
        <v>436830</v>
      </c>
      <c r="S140">
        <v>3.3620000000000001</v>
      </c>
      <c r="T140">
        <v>12.295</v>
      </c>
      <c r="U140">
        <v>-59857</v>
      </c>
      <c r="V140">
        <v>-1.224</v>
      </c>
      <c r="W140">
        <v>22.141999999999999</v>
      </c>
      <c r="X140">
        <v>0</v>
      </c>
      <c r="Y140">
        <v>0</v>
      </c>
      <c r="Z140">
        <v>0</v>
      </c>
    </row>
    <row r="141" spans="1:26" x14ac:dyDescent="0.25">
      <c r="A141">
        <v>1991</v>
      </c>
      <c r="B141" t="s">
        <v>64</v>
      </c>
      <c r="C141">
        <v>1012</v>
      </c>
      <c r="D141">
        <v>364228</v>
      </c>
      <c r="E141">
        <v>22166556</v>
      </c>
      <c r="F141">
        <v>22358257</v>
      </c>
      <c r="G141">
        <v>30762</v>
      </c>
      <c r="H141">
        <v>8.4730000000000008</v>
      </c>
      <c r="I141">
        <v>28389</v>
      </c>
      <c r="J141">
        <v>7.82</v>
      </c>
      <c r="K141">
        <v>2450253</v>
      </c>
      <c r="L141">
        <v>864250</v>
      </c>
      <c r="M141">
        <v>1586003</v>
      </c>
      <c r="N141">
        <v>3.8650000000000002</v>
      </c>
      <c r="O141">
        <v>10.959</v>
      </c>
      <c r="P141">
        <v>2841018</v>
      </c>
      <c r="Q141">
        <v>663492</v>
      </c>
      <c r="R141">
        <v>2177526</v>
      </c>
      <c r="S141">
        <v>2.968</v>
      </c>
      <c r="T141">
        <v>12.707000000000001</v>
      </c>
      <c r="U141">
        <v>-390765</v>
      </c>
      <c r="V141">
        <v>-1.748</v>
      </c>
      <c r="W141">
        <v>21.917999999999999</v>
      </c>
      <c r="X141" t="s">
        <v>62</v>
      </c>
      <c r="Y141" t="s">
        <v>62</v>
      </c>
      <c r="Z141" t="s">
        <v>62</v>
      </c>
    </row>
    <row r="142" spans="1:26" x14ac:dyDescent="0.25">
      <c r="A142">
        <v>1992</v>
      </c>
      <c r="B142" t="s">
        <v>54</v>
      </c>
      <c r="C142">
        <v>2547226</v>
      </c>
      <c r="D142">
        <v>2552947</v>
      </c>
      <c r="E142">
        <v>6085297</v>
      </c>
      <c r="F142">
        <v>6060194</v>
      </c>
      <c r="G142">
        <v>475826</v>
      </c>
      <c r="H142">
        <v>18.696000000000002</v>
      </c>
      <c r="I142">
        <v>460094</v>
      </c>
      <c r="J142">
        <v>18.077999999999999</v>
      </c>
      <c r="K142">
        <v>1934595</v>
      </c>
      <c r="L142">
        <v>1229183</v>
      </c>
      <c r="M142">
        <v>705412</v>
      </c>
      <c r="N142">
        <v>20.283000000000001</v>
      </c>
      <c r="O142">
        <v>31.922999999999998</v>
      </c>
      <c r="P142">
        <v>1885906</v>
      </c>
      <c r="Q142">
        <v>1161914</v>
      </c>
      <c r="R142">
        <v>723992</v>
      </c>
      <c r="S142">
        <v>19.172999999999998</v>
      </c>
      <c r="T142">
        <v>31.12</v>
      </c>
      <c r="U142">
        <v>48689</v>
      </c>
      <c r="V142">
        <v>0.80300000000000005</v>
      </c>
      <c r="W142">
        <v>62.238999999999997</v>
      </c>
      <c r="X142">
        <v>363231</v>
      </c>
      <c r="Y142">
        <v>365939</v>
      </c>
      <c r="Z142">
        <v>951254</v>
      </c>
    </row>
    <row r="143" spans="1:26" x14ac:dyDescent="0.25">
      <c r="A143">
        <v>1992</v>
      </c>
      <c r="B143" t="s">
        <v>55</v>
      </c>
      <c r="C143">
        <v>877697</v>
      </c>
      <c r="D143">
        <v>898105</v>
      </c>
      <c r="E143">
        <v>6182455</v>
      </c>
      <c r="F143">
        <v>6166183</v>
      </c>
      <c r="G143">
        <v>42351</v>
      </c>
      <c r="H143">
        <v>4.7110000000000003</v>
      </c>
      <c r="I143">
        <v>44054</v>
      </c>
      <c r="J143">
        <v>4.9009999999999998</v>
      </c>
      <c r="K143">
        <v>1289602</v>
      </c>
      <c r="L143">
        <v>470215</v>
      </c>
      <c r="M143">
        <v>819387</v>
      </c>
      <c r="N143">
        <v>7.6260000000000003</v>
      </c>
      <c r="O143">
        <v>20.914000000000001</v>
      </c>
      <c r="P143">
        <v>1257915</v>
      </c>
      <c r="Q143">
        <v>480787</v>
      </c>
      <c r="R143">
        <v>777128</v>
      </c>
      <c r="S143">
        <v>7.7969999999999997</v>
      </c>
      <c r="T143">
        <v>20.399999999999999</v>
      </c>
      <c r="U143">
        <v>31687</v>
      </c>
      <c r="V143">
        <v>0.51400000000000001</v>
      </c>
      <c r="W143">
        <v>40.799999999999997</v>
      </c>
      <c r="X143">
        <v>30145</v>
      </c>
      <c r="Y143">
        <v>32022</v>
      </c>
      <c r="Z143">
        <v>399759</v>
      </c>
    </row>
    <row r="144" spans="1:26" x14ac:dyDescent="0.25">
      <c r="A144">
        <v>1992</v>
      </c>
      <c r="B144" t="s">
        <v>56</v>
      </c>
      <c r="C144">
        <v>515778</v>
      </c>
      <c r="D144">
        <v>566466</v>
      </c>
      <c r="E144">
        <v>7228214</v>
      </c>
      <c r="F144">
        <v>7235328</v>
      </c>
      <c r="G144">
        <v>25030</v>
      </c>
      <c r="H144">
        <v>4.415</v>
      </c>
      <c r="I144">
        <v>25988</v>
      </c>
      <c r="J144">
        <v>4.5839999999999996</v>
      </c>
      <c r="K144">
        <v>1371883</v>
      </c>
      <c r="L144">
        <v>434418</v>
      </c>
      <c r="M144">
        <v>937465</v>
      </c>
      <c r="N144">
        <v>6.0039999999999996</v>
      </c>
      <c r="O144">
        <v>18.960999999999999</v>
      </c>
      <c r="P144">
        <v>1386794</v>
      </c>
      <c r="Q144">
        <v>459840</v>
      </c>
      <c r="R144">
        <v>926954</v>
      </c>
      <c r="S144">
        <v>6.3550000000000004</v>
      </c>
      <c r="T144">
        <v>19.167000000000002</v>
      </c>
      <c r="U144">
        <v>-14911</v>
      </c>
      <c r="V144">
        <v>-0.20599999999999999</v>
      </c>
      <c r="W144">
        <v>37.921999999999997</v>
      </c>
      <c r="X144">
        <v>13522</v>
      </c>
      <c r="Y144">
        <v>15126</v>
      </c>
      <c r="Z144">
        <v>365534</v>
      </c>
    </row>
    <row r="145" spans="1:26" x14ac:dyDescent="0.25">
      <c r="A145">
        <v>1992</v>
      </c>
      <c r="B145" t="s">
        <v>57</v>
      </c>
      <c r="C145">
        <v>410560</v>
      </c>
      <c r="D145">
        <v>599304</v>
      </c>
      <c r="E145">
        <v>16437152</v>
      </c>
      <c r="F145">
        <v>16349427</v>
      </c>
      <c r="G145">
        <v>31516</v>
      </c>
      <c r="H145">
        <v>5.2839999999999998</v>
      </c>
      <c r="I145">
        <v>25818</v>
      </c>
      <c r="J145">
        <v>4.3289999999999997</v>
      </c>
      <c r="K145">
        <v>2846386</v>
      </c>
      <c r="L145">
        <v>792928</v>
      </c>
      <c r="M145">
        <v>2053458</v>
      </c>
      <c r="N145">
        <v>4.8499999999999996</v>
      </c>
      <c r="O145">
        <v>17.41</v>
      </c>
      <c r="P145">
        <v>2671890</v>
      </c>
      <c r="Q145">
        <v>762013</v>
      </c>
      <c r="R145">
        <v>1909877</v>
      </c>
      <c r="S145">
        <v>4.6609999999999996</v>
      </c>
      <c r="T145">
        <v>16.341999999999999</v>
      </c>
      <c r="U145">
        <v>174496</v>
      </c>
      <c r="V145">
        <v>1.0669999999999999</v>
      </c>
      <c r="W145">
        <v>32.685000000000002</v>
      </c>
      <c r="X145">
        <v>7721</v>
      </c>
      <c r="Y145">
        <v>10719</v>
      </c>
      <c r="Z145">
        <v>561653</v>
      </c>
    </row>
    <row r="146" spans="1:26" x14ac:dyDescent="0.25">
      <c r="A146">
        <v>1992</v>
      </c>
      <c r="B146" t="s">
        <v>58</v>
      </c>
      <c r="C146">
        <v>65541</v>
      </c>
      <c r="D146">
        <v>271239</v>
      </c>
      <c r="E146">
        <v>12636966</v>
      </c>
      <c r="F146">
        <v>12553653</v>
      </c>
      <c r="G146">
        <v>19219</v>
      </c>
      <c r="H146">
        <v>7.1289999999999996</v>
      </c>
      <c r="I146">
        <v>15953</v>
      </c>
      <c r="J146">
        <v>5.9169999999999998</v>
      </c>
      <c r="K146">
        <v>1989710</v>
      </c>
      <c r="L146">
        <v>562439</v>
      </c>
      <c r="M146">
        <v>1427271</v>
      </c>
      <c r="N146">
        <v>4.4800000000000004</v>
      </c>
      <c r="O146">
        <v>15.85</v>
      </c>
      <c r="P146">
        <v>1822853</v>
      </c>
      <c r="Q146">
        <v>489259</v>
      </c>
      <c r="R146">
        <v>1333594</v>
      </c>
      <c r="S146">
        <v>3.8969999999999998</v>
      </c>
      <c r="T146">
        <v>14.52</v>
      </c>
      <c r="U146">
        <v>166857</v>
      </c>
      <c r="V146">
        <v>1.329</v>
      </c>
      <c r="W146">
        <v>29.041</v>
      </c>
      <c r="X146">
        <v>690</v>
      </c>
      <c r="Y146">
        <v>2199</v>
      </c>
      <c r="Z146">
        <v>235995</v>
      </c>
    </row>
    <row r="147" spans="1:26" x14ac:dyDescent="0.25">
      <c r="A147">
        <v>1992</v>
      </c>
      <c r="B147" t="s">
        <v>59</v>
      </c>
      <c r="C147">
        <v>7772</v>
      </c>
      <c r="D147">
        <v>82051</v>
      </c>
      <c r="E147">
        <v>4602326</v>
      </c>
      <c r="F147">
        <v>4567328</v>
      </c>
      <c r="G147">
        <v>8178</v>
      </c>
      <c r="H147">
        <v>10.132</v>
      </c>
      <c r="I147">
        <v>5508</v>
      </c>
      <c r="J147">
        <v>6.8239999999999998</v>
      </c>
      <c r="K147">
        <v>661674</v>
      </c>
      <c r="L147">
        <v>229153</v>
      </c>
      <c r="M147">
        <v>432521</v>
      </c>
      <c r="N147">
        <v>5.0170000000000003</v>
      </c>
      <c r="O147">
        <v>14.487</v>
      </c>
      <c r="P147">
        <v>592841</v>
      </c>
      <c r="Q147">
        <v>151303</v>
      </c>
      <c r="R147">
        <v>441538</v>
      </c>
      <c r="S147">
        <v>3.3130000000000002</v>
      </c>
      <c r="T147">
        <v>12.98</v>
      </c>
      <c r="U147">
        <v>68833</v>
      </c>
      <c r="V147">
        <v>1.5069999999999999</v>
      </c>
      <c r="W147">
        <v>25.96</v>
      </c>
      <c r="X147">
        <v>27</v>
      </c>
      <c r="Y147">
        <v>421</v>
      </c>
      <c r="Z147">
        <v>36390</v>
      </c>
    </row>
    <row r="148" spans="1:26" x14ac:dyDescent="0.25">
      <c r="A148">
        <v>1992</v>
      </c>
      <c r="B148" t="s">
        <v>60</v>
      </c>
      <c r="C148">
        <v>5125</v>
      </c>
      <c r="D148">
        <v>110196</v>
      </c>
      <c r="E148">
        <v>6655375</v>
      </c>
      <c r="F148">
        <v>6630413</v>
      </c>
      <c r="G148">
        <v>9351</v>
      </c>
      <c r="H148">
        <v>8.516</v>
      </c>
      <c r="I148">
        <v>8565</v>
      </c>
      <c r="J148">
        <v>7.8</v>
      </c>
      <c r="K148">
        <v>864795</v>
      </c>
      <c r="L148">
        <v>259708</v>
      </c>
      <c r="M148">
        <v>605087</v>
      </c>
      <c r="N148">
        <v>3.9169999999999998</v>
      </c>
      <c r="O148">
        <v>13.042999999999999</v>
      </c>
      <c r="P148">
        <v>813523</v>
      </c>
      <c r="Q148">
        <v>254354</v>
      </c>
      <c r="R148">
        <v>559169</v>
      </c>
      <c r="S148">
        <v>3.8359999999999999</v>
      </c>
      <c r="T148">
        <v>12.27</v>
      </c>
      <c r="U148">
        <v>51272</v>
      </c>
      <c r="V148">
        <v>0.77300000000000002</v>
      </c>
      <c r="W148">
        <v>24.539000000000001</v>
      </c>
      <c r="X148">
        <v>14</v>
      </c>
      <c r="Y148">
        <v>109</v>
      </c>
      <c r="Z148">
        <v>49203</v>
      </c>
    </row>
    <row r="149" spans="1:26" x14ac:dyDescent="0.25">
      <c r="A149">
        <v>1992</v>
      </c>
      <c r="B149" t="s">
        <v>61</v>
      </c>
      <c r="C149">
        <v>1999</v>
      </c>
      <c r="D149">
        <v>81234</v>
      </c>
      <c r="E149">
        <v>4769817</v>
      </c>
      <c r="F149">
        <v>4752249</v>
      </c>
      <c r="G149">
        <v>7054</v>
      </c>
      <c r="H149">
        <v>8.673</v>
      </c>
      <c r="I149">
        <v>7252</v>
      </c>
      <c r="J149">
        <v>8.9160000000000004</v>
      </c>
      <c r="K149">
        <v>607632</v>
      </c>
      <c r="L149">
        <v>176556</v>
      </c>
      <c r="M149">
        <v>431076</v>
      </c>
      <c r="N149">
        <v>3.7149999999999999</v>
      </c>
      <c r="O149">
        <v>12.786</v>
      </c>
      <c r="P149">
        <v>571775</v>
      </c>
      <c r="Q149">
        <v>177227</v>
      </c>
      <c r="R149">
        <v>394548</v>
      </c>
      <c r="S149">
        <v>3.7290000000000001</v>
      </c>
      <c r="T149">
        <v>12.032</v>
      </c>
      <c r="U149">
        <v>35857</v>
      </c>
      <c r="V149">
        <v>0.755</v>
      </c>
      <c r="W149">
        <v>24.062999999999999</v>
      </c>
      <c r="X149">
        <v>3</v>
      </c>
      <c r="Y149">
        <v>3</v>
      </c>
      <c r="Z149">
        <v>21480</v>
      </c>
    </row>
    <row r="150" spans="1:26" x14ac:dyDescent="0.25">
      <c r="A150">
        <v>1992</v>
      </c>
      <c r="B150" t="s">
        <v>63</v>
      </c>
      <c r="C150">
        <v>1133</v>
      </c>
      <c r="D150">
        <v>95084</v>
      </c>
      <c r="E150">
        <v>5041839</v>
      </c>
      <c r="F150">
        <v>5042945</v>
      </c>
      <c r="G150">
        <v>6245</v>
      </c>
      <c r="H150">
        <v>6.5629999999999997</v>
      </c>
      <c r="I150">
        <v>6393</v>
      </c>
      <c r="J150">
        <v>6.718</v>
      </c>
      <c r="K150">
        <v>636238</v>
      </c>
      <c r="L150">
        <v>211036</v>
      </c>
      <c r="M150">
        <v>425202</v>
      </c>
      <c r="N150">
        <v>4.1849999999999996</v>
      </c>
      <c r="O150">
        <v>12.616</v>
      </c>
      <c r="P150">
        <v>638095</v>
      </c>
      <c r="Q150">
        <v>181500</v>
      </c>
      <c r="R150">
        <v>456595</v>
      </c>
      <c r="S150">
        <v>3.5990000000000002</v>
      </c>
      <c r="T150">
        <v>12.653</v>
      </c>
      <c r="U150">
        <v>-1857</v>
      </c>
      <c r="V150">
        <v>-3.6999999999999998E-2</v>
      </c>
      <c r="W150">
        <v>25.233000000000001</v>
      </c>
      <c r="X150" t="s">
        <v>62</v>
      </c>
      <c r="Y150" t="s">
        <v>62</v>
      </c>
      <c r="Z150" t="s">
        <v>62</v>
      </c>
    </row>
    <row r="151" spans="1:26" x14ac:dyDescent="0.25">
      <c r="A151">
        <v>1992</v>
      </c>
      <c r="B151" t="s">
        <v>64</v>
      </c>
      <c r="C151">
        <v>925</v>
      </c>
      <c r="D151">
        <v>358975</v>
      </c>
      <c r="E151">
        <v>21799315</v>
      </c>
      <c r="F151">
        <v>22065570</v>
      </c>
      <c r="G151">
        <v>24475</v>
      </c>
      <c r="H151">
        <v>6.7249999999999996</v>
      </c>
      <c r="I151">
        <v>34379</v>
      </c>
      <c r="J151">
        <v>9.4469999999999992</v>
      </c>
      <c r="K151">
        <v>2473684</v>
      </c>
      <c r="L151">
        <v>764229</v>
      </c>
      <c r="M151">
        <v>1709455</v>
      </c>
      <c r="N151">
        <v>3.4630000000000001</v>
      </c>
      <c r="O151">
        <v>11.211</v>
      </c>
      <c r="P151">
        <v>2999186</v>
      </c>
      <c r="Q151">
        <v>1001677</v>
      </c>
      <c r="R151">
        <v>1997509</v>
      </c>
      <c r="S151">
        <v>4.54</v>
      </c>
      <c r="T151">
        <v>13.592000000000001</v>
      </c>
      <c r="U151">
        <v>-525502</v>
      </c>
      <c r="V151">
        <v>-2.3820000000000001</v>
      </c>
      <c r="W151">
        <v>22.420999999999999</v>
      </c>
      <c r="X151" t="s">
        <v>62</v>
      </c>
      <c r="Y151" t="s">
        <v>62</v>
      </c>
      <c r="Z151" t="s">
        <v>62</v>
      </c>
    </row>
    <row r="152" spans="1:26" x14ac:dyDescent="0.25">
      <c r="A152">
        <v>1993</v>
      </c>
      <c r="B152" t="s">
        <v>54</v>
      </c>
      <c r="C152">
        <v>2601346</v>
      </c>
      <c r="D152">
        <v>2606936</v>
      </c>
      <c r="E152">
        <v>6236442</v>
      </c>
      <c r="F152">
        <v>6093081</v>
      </c>
      <c r="G152">
        <v>503056</v>
      </c>
      <c r="H152">
        <v>19.599</v>
      </c>
      <c r="I152">
        <v>422565</v>
      </c>
      <c r="J152">
        <v>16.463000000000001</v>
      </c>
      <c r="K152">
        <v>2032007</v>
      </c>
      <c r="L152">
        <v>1293561</v>
      </c>
      <c r="M152">
        <v>738446</v>
      </c>
      <c r="N152">
        <v>21.23</v>
      </c>
      <c r="O152">
        <v>33.348999999999997</v>
      </c>
      <c r="P152">
        <v>1743677</v>
      </c>
      <c r="Q152">
        <v>1060306</v>
      </c>
      <c r="R152">
        <v>683371</v>
      </c>
      <c r="S152">
        <v>17.402000000000001</v>
      </c>
      <c r="T152">
        <v>28.617000000000001</v>
      </c>
      <c r="U152">
        <v>288330</v>
      </c>
      <c r="V152">
        <v>4.7320000000000002</v>
      </c>
      <c r="W152">
        <v>57.234999999999999</v>
      </c>
      <c r="X152">
        <v>339871</v>
      </c>
      <c r="Y152">
        <v>341484</v>
      </c>
      <c r="Z152">
        <v>884705</v>
      </c>
    </row>
    <row r="153" spans="1:26" x14ac:dyDescent="0.25">
      <c r="A153">
        <v>1993</v>
      </c>
      <c r="B153" t="s">
        <v>55</v>
      </c>
      <c r="C153">
        <v>887695</v>
      </c>
      <c r="D153">
        <v>906264</v>
      </c>
      <c r="E153">
        <v>6291195</v>
      </c>
      <c r="F153">
        <v>6214201</v>
      </c>
      <c r="G153">
        <v>38315</v>
      </c>
      <c r="H153">
        <v>4.2380000000000004</v>
      </c>
      <c r="I153">
        <v>33956</v>
      </c>
      <c r="J153">
        <v>3.7559999999999998</v>
      </c>
      <c r="K153">
        <v>1313642</v>
      </c>
      <c r="L153">
        <v>463304</v>
      </c>
      <c r="M153">
        <v>850338</v>
      </c>
      <c r="N153">
        <v>7.4560000000000004</v>
      </c>
      <c r="O153">
        <v>21.138999999999999</v>
      </c>
      <c r="P153">
        <v>1159362</v>
      </c>
      <c r="Q153">
        <v>411129</v>
      </c>
      <c r="R153">
        <v>748233</v>
      </c>
      <c r="S153">
        <v>6.6159999999999997</v>
      </c>
      <c r="T153">
        <v>18.657</v>
      </c>
      <c r="U153">
        <v>154280</v>
      </c>
      <c r="V153">
        <v>2.4830000000000001</v>
      </c>
      <c r="W153">
        <v>37.313000000000002</v>
      </c>
      <c r="X153">
        <v>27220</v>
      </c>
      <c r="Y153">
        <v>28801</v>
      </c>
      <c r="Z153">
        <v>360377</v>
      </c>
    </row>
    <row r="154" spans="1:26" x14ac:dyDescent="0.25">
      <c r="A154">
        <v>1993</v>
      </c>
      <c r="B154" t="s">
        <v>56</v>
      </c>
      <c r="C154">
        <v>520116</v>
      </c>
      <c r="D154">
        <v>570860</v>
      </c>
      <c r="E154">
        <v>7346892</v>
      </c>
      <c r="F154">
        <v>7258483</v>
      </c>
      <c r="G154">
        <v>19255</v>
      </c>
      <c r="H154">
        <v>3.3759999999999999</v>
      </c>
      <c r="I154">
        <v>18403</v>
      </c>
      <c r="J154">
        <v>3.226</v>
      </c>
      <c r="K154">
        <v>1371554</v>
      </c>
      <c r="L154">
        <v>409286</v>
      </c>
      <c r="M154">
        <v>962268</v>
      </c>
      <c r="N154">
        <v>5.6390000000000002</v>
      </c>
      <c r="O154">
        <v>18.896000000000001</v>
      </c>
      <c r="P154">
        <v>1195824</v>
      </c>
      <c r="Q154">
        <v>379051</v>
      </c>
      <c r="R154">
        <v>816773</v>
      </c>
      <c r="S154">
        <v>5.2220000000000004</v>
      </c>
      <c r="T154">
        <v>16.475000000000001</v>
      </c>
      <c r="U154">
        <v>175730</v>
      </c>
      <c r="V154">
        <v>2.4209999999999998</v>
      </c>
      <c r="W154">
        <v>32.950000000000003</v>
      </c>
      <c r="X154">
        <v>12082</v>
      </c>
      <c r="Y154">
        <v>13822</v>
      </c>
      <c r="Z154">
        <v>325693</v>
      </c>
    </row>
    <row r="155" spans="1:26" x14ac:dyDescent="0.25">
      <c r="A155">
        <v>1993</v>
      </c>
      <c r="B155" t="s">
        <v>57</v>
      </c>
      <c r="C155">
        <v>415795</v>
      </c>
      <c r="D155">
        <v>603532</v>
      </c>
      <c r="E155">
        <v>16729406</v>
      </c>
      <c r="F155">
        <v>16512209</v>
      </c>
      <c r="G155">
        <v>22719</v>
      </c>
      <c r="H155">
        <v>3.762</v>
      </c>
      <c r="I155">
        <v>23508</v>
      </c>
      <c r="J155">
        <v>3.8929999999999998</v>
      </c>
      <c r="K155">
        <v>2783011</v>
      </c>
      <c r="L155">
        <v>703181</v>
      </c>
      <c r="M155">
        <v>2079830</v>
      </c>
      <c r="N155">
        <v>4.2590000000000003</v>
      </c>
      <c r="O155">
        <v>16.853999999999999</v>
      </c>
      <c r="P155">
        <v>2349364</v>
      </c>
      <c r="Q155">
        <v>644629</v>
      </c>
      <c r="R155">
        <v>1704735</v>
      </c>
      <c r="S155">
        <v>3.9039999999999999</v>
      </c>
      <c r="T155">
        <v>14.228</v>
      </c>
      <c r="U155">
        <v>433647</v>
      </c>
      <c r="V155">
        <v>2.6259999999999999</v>
      </c>
      <c r="W155">
        <v>28.456</v>
      </c>
      <c r="X155">
        <v>6596</v>
      </c>
      <c r="Y155">
        <v>9892</v>
      </c>
      <c r="Z155">
        <v>480297</v>
      </c>
    </row>
    <row r="156" spans="1:26" x14ac:dyDescent="0.25">
      <c r="A156">
        <v>1993</v>
      </c>
      <c r="B156" t="s">
        <v>58</v>
      </c>
      <c r="C156">
        <v>67374</v>
      </c>
      <c r="D156">
        <v>272563</v>
      </c>
      <c r="E156">
        <v>13062123</v>
      </c>
      <c r="F156">
        <v>12844683</v>
      </c>
      <c r="G156">
        <v>16131</v>
      </c>
      <c r="H156">
        <v>5.8849999999999998</v>
      </c>
      <c r="I156">
        <v>19245</v>
      </c>
      <c r="J156">
        <v>7.0209999999999999</v>
      </c>
      <c r="K156">
        <v>2084059</v>
      </c>
      <c r="L156">
        <v>498554</v>
      </c>
      <c r="M156">
        <v>1585505</v>
      </c>
      <c r="N156">
        <v>3.8809999999999998</v>
      </c>
      <c r="O156">
        <v>16.225000000000001</v>
      </c>
      <c r="P156">
        <v>1650790</v>
      </c>
      <c r="Q156">
        <v>451699</v>
      </c>
      <c r="R156">
        <v>1199091</v>
      </c>
      <c r="S156">
        <v>3.5169999999999999</v>
      </c>
      <c r="T156">
        <v>12.852</v>
      </c>
      <c r="U156">
        <v>433269</v>
      </c>
      <c r="V156">
        <v>3.3730000000000002</v>
      </c>
      <c r="W156">
        <v>25.704000000000001</v>
      </c>
      <c r="X156">
        <v>549</v>
      </c>
      <c r="Y156">
        <v>2749</v>
      </c>
      <c r="Z156">
        <v>188889</v>
      </c>
    </row>
    <row r="157" spans="1:26" x14ac:dyDescent="0.25">
      <c r="A157">
        <v>1993</v>
      </c>
      <c r="B157" t="s">
        <v>59</v>
      </c>
      <c r="C157">
        <v>7801</v>
      </c>
      <c r="D157">
        <v>80333</v>
      </c>
      <c r="E157">
        <v>4665273</v>
      </c>
      <c r="F157">
        <v>4602361</v>
      </c>
      <c r="G157">
        <v>5847</v>
      </c>
      <c r="H157">
        <v>7.2789999999999999</v>
      </c>
      <c r="I157">
        <v>5832</v>
      </c>
      <c r="J157">
        <v>7.26</v>
      </c>
      <c r="K157">
        <v>674459</v>
      </c>
      <c r="L157">
        <v>176067</v>
      </c>
      <c r="M157">
        <v>498392</v>
      </c>
      <c r="N157">
        <v>3.8260000000000001</v>
      </c>
      <c r="O157">
        <v>14.654999999999999</v>
      </c>
      <c r="P157">
        <v>548845</v>
      </c>
      <c r="Q157">
        <v>162204</v>
      </c>
      <c r="R157">
        <v>386641</v>
      </c>
      <c r="S157">
        <v>3.524</v>
      </c>
      <c r="T157">
        <v>11.925000000000001</v>
      </c>
      <c r="U157">
        <v>125614</v>
      </c>
      <c r="V157">
        <v>2.7290000000000001</v>
      </c>
      <c r="W157">
        <v>23.850999999999999</v>
      </c>
      <c r="X157">
        <v>24</v>
      </c>
      <c r="Y157">
        <v>290</v>
      </c>
      <c r="Z157">
        <v>32119</v>
      </c>
    </row>
    <row r="158" spans="1:26" x14ac:dyDescent="0.25">
      <c r="A158">
        <v>1993</v>
      </c>
      <c r="B158" t="s">
        <v>60</v>
      </c>
      <c r="C158">
        <v>5111</v>
      </c>
      <c r="D158">
        <v>109779</v>
      </c>
      <c r="E158">
        <v>6696878</v>
      </c>
      <c r="F158">
        <v>6641911</v>
      </c>
      <c r="G158">
        <v>8461</v>
      </c>
      <c r="H158">
        <v>7.7430000000000003</v>
      </c>
      <c r="I158">
        <v>7453</v>
      </c>
      <c r="J158">
        <v>6.82</v>
      </c>
      <c r="K158">
        <v>850293</v>
      </c>
      <c r="L158">
        <v>230651</v>
      </c>
      <c r="M158">
        <v>619642</v>
      </c>
      <c r="N158">
        <v>3.4729999999999999</v>
      </c>
      <c r="O158">
        <v>12.802</v>
      </c>
      <c r="P158">
        <v>737433</v>
      </c>
      <c r="Q158">
        <v>217884</v>
      </c>
      <c r="R158">
        <v>519549</v>
      </c>
      <c r="S158">
        <v>3.28</v>
      </c>
      <c r="T158">
        <v>11.103</v>
      </c>
      <c r="U158">
        <v>112860</v>
      </c>
      <c r="V158">
        <v>1.6990000000000001</v>
      </c>
      <c r="W158">
        <v>22.204999999999998</v>
      </c>
      <c r="X158">
        <v>14</v>
      </c>
      <c r="Y158">
        <v>75</v>
      </c>
      <c r="Z158">
        <v>37886</v>
      </c>
    </row>
    <row r="159" spans="1:26" x14ac:dyDescent="0.25">
      <c r="A159">
        <v>1993</v>
      </c>
      <c r="B159" t="s">
        <v>61</v>
      </c>
      <c r="C159">
        <v>2003</v>
      </c>
      <c r="D159">
        <v>86593</v>
      </c>
      <c r="E159">
        <v>5006289</v>
      </c>
      <c r="F159">
        <v>4971470</v>
      </c>
      <c r="G159">
        <v>6154</v>
      </c>
      <c r="H159">
        <v>7.0469999999999997</v>
      </c>
      <c r="I159">
        <v>7620</v>
      </c>
      <c r="J159">
        <v>8.7260000000000009</v>
      </c>
      <c r="K159">
        <v>596731</v>
      </c>
      <c r="L159">
        <v>159752</v>
      </c>
      <c r="M159">
        <v>436979</v>
      </c>
      <c r="N159">
        <v>3.2130000000000001</v>
      </c>
      <c r="O159">
        <v>12.003</v>
      </c>
      <c r="P159">
        <v>528109</v>
      </c>
      <c r="Q159">
        <v>160781</v>
      </c>
      <c r="R159">
        <v>367328</v>
      </c>
      <c r="S159">
        <v>3.234</v>
      </c>
      <c r="T159">
        <v>10.622999999999999</v>
      </c>
      <c r="U159">
        <v>68622</v>
      </c>
      <c r="V159">
        <v>1.38</v>
      </c>
      <c r="W159">
        <v>21.245999999999999</v>
      </c>
      <c r="X159" t="s">
        <v>62</v>
      </c>
      <c r="Y159" t="s">
        <v>62</v>
      </c>
      <c r="Z159" t="s">
        <v>62</v>
      </c>
    </row>
    <row r="160" spans="1:26" x14ac:dyDescent="0.25">
      <c r="A160">
        <v>1993</v>
      </c>
      <c r="B160" t="s">
        <v>63</v>
      </c>
      <c r="C160">
        <v>1147</v>
      </c>
      <c r="D160">
        <v>89979</v>
      </c>
      <c r="E160">
        <v>5020791</v>
      </c>
      <c r="F160">
        <v>4984975</v>
      </c>
      <c r="G160">
        <v>5486</v>
      </c>
      <c r="H160">
        <v>6.0890000000000004</v>
      </c>
      <c r="I160">
        <v>5734</v>
      </c>
      <c r="J160">
        <v>6.3639999999999999</v>
      </c>
      <c r="K160">
        <v>609210</v>
      </c>
      <c r="L160">
        <v>180864</v>
      </c>
      <c r="M160">
        <v>428346</v>
      </c>
      <c r="N160">
        <v>3.6280000000000001</v>
      </c>
      <c r="O160">
        <v>12.221</v>
      </c>
      <c r="P160">
        <v>536014</v>
      </c>
      <c r="Q160">
        <v>143699</v>
      </c>
      <c r="R160">
        <v>392315</v>
      </c>
      <c r="S160">
        <v>2.883</v>
      </c>
      <c r="T160">
        <v>10.753</v>
      </c>
      <c r="U160">
        <v>73196</v>
      </c>
      <c r="V160">
        <v>1.468</v>
      </c>
      <c r="W160">
        <v>21.504999999999999</v>
      </c>
      <c r="X160">
        <v>0</v>
      </c>
      <c r="Y160">
        <v>0</v>
      </c>
      <c r="Z160">
        <v>0</v>
      </c>
    </row>
    <row r="161" spans="1:26" x14ac:dyDescent="0.25">
      <c r="A161">
        <v>1993</v>
      </c>
      <c r="B161" t="s">
        <v>64</v>
      </c>
      <c r="C161">
        <v>1079</v>
      </c>
      <c r="D161">
        <v>355400</v>
      </c>
      <c r="E161">
        <v>22047023</v>
      </c>
      <c r="F161">
        <v>22160432</v>
      </c>
      <c r="G161">
        <v>24671</v>
      </c>
      <c r="H161">
        <v>6.8090000000000002</v>
      </c>
      <c r="I161">
        <v>38512</v>
      </c>
      <c r="J161">
        <v>10.629</v>
      </c>
      <c r="K161">
        <v>2610807</v>
      </c>
      <c r="L161">
        <v>740470</v>
      </c>
      <c r="M161">
        <v>1870337</v>
      </c>
      <c r="N161">
        <v>3.3410000000000002</v>
      </c>
      <c r="O161">
        <v>11.781000000000001</v>
      </c>
      <c r="P161">
        <v>2850711</v>
      </c>
      <c r="Q161">
        <v>828870</v>
      </c>
      <c r="R161">
        <v>2021841</v>
      </c>
      <c r="S161">
        <v>3.74</v>
      </c>
      <c r="T161">
        <v>12.864000000000001</v>
      </c>
      <c r="U161">
        <v>-239904</v>
      </c>
      <c r="V161">
        <v>-1.083</v>
      </c>
      <c r="W161">
        <v>23.562999999999999</v>
      </c>
      <c r="X161">
        <v>0</v>
      </c>
      <c r="Y161">
        <v>0</v>
      </c>
      <c r="Z161">
        <v>0</v>
      </c>
    </row>
    <row r="162" spans="1:26" x14ac:dyDescent="0.25">
      <c r="A162">
        <v>1994</v>
      </c>
      <c r="B162" t="s">
        <v>54</v>
      </c>
      <c r="C162">
        <v>2651098</v>
      </c>
      <c r="D162">
        <v>2657150</v>
      </c>
      <c r="E162">
        <v>6304029</v>
      </c>
      <c r="F162">
        <v>6205146</v>
      </c>
      <c r="G162">
        <v>508607</v>
      </c>
      <c r="H162">
        <v>19.414000000000001</v>
      </c>
      <c r="I162">
        <v>433810</v>
      </c>
      <c r="J162">
        <v>16.559000000000001</v>
      </c>
      <c r="K162">
        <v>2036422</v>
      </c>
      <c r="L162">
        <v>1296978</v>
      </c>
      <c r="M162">
        <v>739444</v>
      </c>
      <c r="N162">
        <v>20.902000000000001</v>
      </c>
      <c r="O162">
        <v>32.817999999999998</v>
      </c>
      <c r="P162">
        <v>1839458</v>
      </c>
      <c r="Q162">
        <v>1095067</v>
      </c>
      <c r="R162">
        <v>744391</v>
      </c>
      <c r="S162">
        <v>17.648</v>
      </c>
      <c r="T162">
        <v>29.643999999999998</v>
      </c>
      <c r="U162">
        <v>196964</v>
      </c>
      <c r="V162">
        <v>3.1739999999999999</v>
      </c>
      <c r="W162">
        <v>59.287999999999997</v>
      </c>
      <c r="X162">
        <v>349839</v>
      </c>
      <c r="Y162">
        <v>351759</v>
      </c>
      <c r="Z162">
        <v>913963</v>
      </c>
    </row>
    <row r="163" spans="1:26" x14ac:dyDescent="0.25">
      <c r="A163">
        <v>1994</v>
      </c>
      <c r="B163" t="s">
        <v>55</v>
      </c>
      <c r="C163">
        <v>899498</v>
      </c>
      <c r="D163">
        <v>918843</v>
      </c>
      <c r="E163">
        <v>6370730</v>
      </c>
      <c r="F163">
        <v>6315087</v>
      </c>
      <c r="G163">
        <v>39344</v>
      </c>
      <c r="H163">
        <v>4.2880000000000003</v>
      </c>
      <c r="I163">
        <v>36542</v>
      </c>
      <c r="J163">
        <v>3.9830000000000001</v>
      </c>
      <c r="K163">
        <v>1319320</v>
      </c>
      <c r="L163">
        <v>471394</v>
      </c>
      <c r="M163">
        <v>847926</v>
      </c>
      <c r="N163">
        <v>7.4649999999999999</v>
      </c>
      <c r="O163">
        <v>20.891999999999999</v>
      </c>
      <c r="P163">
        <v>1207604</v>
      </c>
      <c r="Q163">
        <v>432148</v>
      </c>
      <c r="R163">
        <v>775456</v>
      </c>
      <c r="S163">
        <v>6.843</v>
      </c>
      <c r="T163">
        <v>19.123000000000001</v>
      </c>
      <c r="U163">
        <v>111716</v>
      </c>
      <c r="V163">
        <v>1.7689999999999999</v>
      </c>
      <c r="W163">
        <v>38.244999999999997</v>
      </c>
      <c r="X163">
        <v>28348</v>
      </c>
      <c r="Y163">
        <v>30398</v>
      </c>
      <c r="Z163">
        <v>376581</v>
      </c>
    </row>
    <row r="164" spans="1:26" x14ac:dyDescent="0.25">
      <c r="A164">
        <v>1994</v>
      </c>
      <c r="B164" t="s">
        <v>56</v>
      </c>
      <c r="C164">
        <v>528143</v>
      </c>
      <c r="D164">
        <v>576920</v>
      </c>
      <c r="E164">
        <v>7474642</v>
      </c>
      <c r="F164">
        <v>7393467</v>
      </c>
      <c r="G164">
        <v>21423</v>
      </c>
      <c r="H164">
        <v>3.718</v>
      </c>
      <c r="I164">
        <v>19970</v>
      </c>
      <c r="J164">
        <v>3.4660000000000002</v>
      </c>
      <c r="K164">
        <v>1384791</v>
      </c>
      <c r="L164">
        <v>423786</v>
      </c>
      <c r="M164">
        <v>961005</v>
      </c>
      <c r="N164">
        <v>5.7320000000000002</v>
      </c>
      <c r="O164">
        <v>18.73</v>
      </c>
      <c r="P164">
        <v>1222672</v>
      </c>
      <c r="Q164">
        <v>399212</v>
      </c>
      <c r="R164">
        <v>823460</v>
      </c>
      <c r="S164">
        <v>5.4</v>
      </c>
      <c r="T164">
        <v>16.536999999999999</v>
      </c>
      <c r="U164">
        <v>162119</v>
      </c>
      <c r="V164">
        <v>2.1930000000000001</v>
      </c>
      <c r="W164">
        <v>33.073999999999998</v>
      </c>
      <c r="X164">
        <v>12714</v>
      </c>
      <c r="Y164">
        <v>14856</v>
      </c>
      <c r="Z164">
        <v>342849</v>
      </c>
    </row>
    <row r="165" spans="1:26" x14ac:dyDescent="0.25">
      <c r="A165">
        <v>1994</v>
      </c>
      <c r="B165" t="s">
        <v>57</v>
      </c>
      <c r="C165">
        <v>425260</v>
      </c>
      <c r="D165">
        <v>612361</v>
      </c>
      <c r="E165">
        <v>17288027</v>
      </c>
      <c r="F165">
        <v>17006160</v>
      </c>
      <c r="G165">
        <v>26224</v>
      </c>
      <c r="H165">
        <v>4.3</v>
      </c>
      <c r="I165">
        <v>21262</v>
      </c>
      <c r="J165">
        <v>3.4860000000000002</v>
      </c>
      <c r="K165">
        <v>2861451</v>
      </c>
      <c r="L165">
        <v>786136</v>
      </c>
      <c r="M165">
        <v>2075315</v>
      </c>
      <c r="N165">
        <v>4.6230000000000002</v>
      </c>
      <c r="O165">
        <v>16.826000000000001</v>
      </c>
      <c r="P165">
        <v>2297962</v>
      </c>
      <c r="Q165">
        <v>668146</v>
      </c>
      <c r="R165">
        <v>1629816</v>
      </c>
      <c r="S165">
        <v>3.9289999999999998</v>
      </c>
      <c r="T165">
        <v>13.513</v>
      </c>
      <c r="U165">
        <v>563489</v>
      </c>
      <c r="V165">
        <v>3.3130000000000002</v>
      </c>
      <c r="W165">
        <v>27.024999999999999</v>
      </c>
      <c r="X165">
        <v>7289</v>
      </c>
      <c r="Y165">
        <v>11173</v>
      </c>
      <c r="Z165">
        <v>531631</v>
      </c>
    </row>
    <row r="166" spans="1:26" x14ac:dyDescent="0.25">
      <c r="A166">
        <v>1994</v>
      </c>
      <c r="B166" t="s">
        <v>58</v>
      </c>
      <c r="C166">
        <v>69353</v>
      </c>
      <c r="D166">
        <v>276758</v>
      </c>
      <c r="E166">
        <v>13524647</v>
      </c>
      <c r="F166">
        <v>13246441</v>
      </c>
      <c r="G166">
        <v>18201</v>
      </c>
      <c r="H166">
        <v>6.633</v>
      </c>
      <c r="I166">
        <v>13450</v>
      </c>
      <c r="J166">
        <v>4.9020000000000001</v>
      </c>
      <c r="K166">
        <v>2102603</v>
      </c>
      <c r="L166">
        <v>550057</v>
      </c>
      <c r="M166">
        <v>1552546</v>
      </c>
      <c r="N166">
        <v>4.1520000000000001</v>
      </c>
      <c r="O166">
        <v>15.872999999999999</v>
      </c>
      <c r="P166">
        <v>1547572</v>
      </c>
      <c r="Q166">
        <v>432295</v>
      </c>
      <c r="R166">
        <v>1115277</v>
      </c>
      <c r="S166">
        <v>3.2629999999999999</v>
      </c>
      <c r="T166">
        <v>11.683</v>
      </c>
      <c r="U166">
        <v>555031</v>
      </c>
      <c r="V166">
        <v>4.1900000000000004</v>
      </c>
      <c r="W166">
        <v>23.366</v>
      </c>
      <c r="X166">
        <v>637</v>
      </c>
      <c r="Y166">
        <v>2068</v>
      </c>
      <c r="Z166">
        <v>214223</v>
      </c>
    </row>
    <row r="167" spans="1:26" x14ac:dyDescent="0.25">
      <c r="A167">
        <v>1994</v>
      </c>
      <c r="B167" t="s">
        <v>59</v>
      </c>
      <c r="C167">
        <v>8084</v>
      </c>
      <c r="D167">
        <v>82625</v>
      </c>
      <c r="E167">
        <v>4858574</v>
      </c>
      <c r="F167">
        <v>4768595</v>
      </c>
      <c r="G167">
        <v>7680</v>
      </c>
      <c r="H167">
        <v>9.4139999999999997</v>
      </c>
      <c r="I167">
        <v>5586</v>
      </c>
      <c r="J167">
        <v>6.8470000000000004</v>
      </c>
      <c r="K167">
        <v>686067</v>
      </c>
      <c r="L167">
        <v>207273</v>
      </c>
      <c r="M167">
        <v>478794</v>
      </c>
      <c r="N167">
        <v>4.3470000000000004</v>
      </c>
      <c r="O167">
        <v>14.387</v>
      </c>
      <c r="P167">
        <v>506378</v>
      </c>
      <c r="Q167">
        <v>140100</v>
      </c>
      <c r="R167">
        <v>366278</v>
      </c>
      <c r="S167">
        <v>2.9380000000000002</v>
      </c>
      <c r="T167">
        <v>10.619</v>
      </c>
      <c r="U167">
        <v>179689</v>
      </c>
      <c r="V167">
        <v>3.7679999999999998</v>
      </c>
      <c r="W167">
        <v>21.238</v>
      </c>
      <c r="X167">
        <v>30</v>
      </c>
      <c r="Y167">
        <v>255</v>
      </c>
      <c r="Z167">
        <v>38812</v>
      </c>
    </row>
    <row r="168" spans="1:26" x14ac:dyDescent="0.25">
      <c r="A168">
        <v>1994</v>
      </c>
      <c r="B168" t="s">
        <v>60</v>
      </c>
      <c r="C168">
        <v>5389</v>
      </c>
      <c r="D168">
        <v>111926</v>
      </c>
      <c r="E168">
        <v>6889854</v>
      </c>
      <c r="F168">
        <v>6787571</v>
      </c>
      <c r="G168">
        <v>10448</v>
      </c>
      <c r="H168">
        <v>9.4589999999999996</v>
      </c>
      <c r="I168">
        <v>7515</v>
      </c>
      <c r="J168">
        <v>6.8029999999999999</v>
      </c>
      <c r="K168">
        <v>906268</v>
      </c>
      <c r="L168">
        <v>276422</v>
      </c>
      <c r="M168">
        <v>629846</v>
      </c>
      <c r="N168">
        <v>4.0720000000000001</v>
      </c>
      <c r="O168">
        <v>13.352</v>
      </c>
      <c r="P168">
        <v>701370</v>
      </c>
      <c r="Q168">
        <v>196756</v>
      </c>
      <c r="R168">
        <v>504614</v>
      </c>
      <c r="S168">
        <v>2.899</v>
      </c>
      <c r="T168">
        <v>10.333</v>
      </c>
      <c r="U168">
        <v>204898</v>
      </c>
      <c r="V168">
        <v>3.0190000000000001</v>
      </c>
      <c r="W168">
        <v>20.666</v>
      </c>
      <c r="X168">
        <v>15</v>
      </c>
      <c r="Y168">
        <v>272</v>
      </c>
      <c r="Z168">
        <v>39661</v>
      </c>
    </row>
    <row r="169" spans="1:26" x14ac:dyDescent="0.25">
      <c r="A169">
        <v>1994</v>
      </c>
      <c r="B169" t="s">
        <v>61</v>
      </c>
      <c r="C169">
        <v>2130</v>
      </c>
      <c r="D169">
        <v>90368</v>
      </c>
      <c r="E169">
        <v>5154132</v>
      </c>
      <c r="F169">
        <v>5105719</v>
      </c>
      <c r="G169">
        <v>8849</v>
      </c>
      <c r="H169">
        <v>9.9930000000000003</v>
      </c>
      <c r="I169">
        <v>5212</v>
      </c>
      <c r="J169">
        <v>5.8860000000000001</v>
      </c>
      <c r="K169">
        <v>599162</v>
      </c>
      <c r="L169">
        <v>184179</v>
      </c>
      <c r="M169">
        <v>414983</v>
      </c>
      <c r="N169">
        <v>3.6070000000000002</v>
      </c>
      <c r="O169">
        <v>11.734999999999999</v>
      </c>
      <c r="P169">
        <v>503925</v>
      </c>
      <c r="Q169">
        <v>163451</v>
      </c>
      <c r="R169">
        <v>340474</v>
      </c>
      <c r="S169">
        <v>3.2010000000000001</v>
      </c>
      <c r="T169">
        <v>9.8699999999999992</v>
      </c>
      <c r="U169">
        <v>95237</v>
      </c>
      <c r="V169">
        <v>1.865</v>
      </c>
      <c r="W169">
        <v>19.739999999999998</v>
      </c>
      <c r="X169">
        <v>3</v>
      </c>
      <c r="Y169">
        <v>3</v>
      </c>
      <c r="Z169">
        <v>17991</v>
      </c>
    </row>
    <row r="170" spans="1:26" x14ac:dyDescent="0.25">
      <c r="A170">
        <v>1994</v>
      </c>
      <c r="B170" t="s">
        <v>63</v>
      </c>
      <c r="C170">
        <v>1235</v>
      </c>
      <c r="D170">
        <v>92251</v>
      </c>
      <c r="E170">
        <v>5237854</v>
      </c>
      <c r="F170">
        <v>5169371</v>
      </c>
      <c r="G170">
        <v>8814</v>
      </c>
      <c r="H170">
        <v>9.7100000000000009</v>
      </c>
      <c r="I170">
        <v>5853</v>
      </c>
      <c r="J170">
        <v>6.4480000000000004</v>
      </c>
      <c r="K170">
        <v>677179</v>
      </c>
      <c r="L170">
        <v>242412</v>
      </c>
      <c r="M170">
        <v>434767</v>
      </c>
      <c r="N170">
        <v>4.6890000000000001</v>
      </c>
      <c r="O170">
        <v>13.1</v>
      </c>
      <c r="P170">
        <v>537904</v>
      </c>
      <c r="Q170">
        <v>130069</v>
      </c>
      <c r="R170">
        <v>407835</v>
      </c>
      <c r="S170">
        <v>2.516</v>
      </c>
      <c r="T170">
        <v>10.406000000000001</v>
      </c>
      <c r="U170">
        <v>139275</v>
      </c>
      <c r="V170">
        <v>2.694</v>
      </c>
      <c r="W170">
        <v>20.811</v>
      </c>
      <c r="X170">
        <v>0</v>
      </c>
      <c r="Y170">
        <v>0</v>
      </c>
      <c r="Z170">
        <v>0</v>
      </c>
    </row>
    <row r="171" spans="1:26" x14ac:dyDescent="0.25">
      <c r="A171">
        <v>1994</v>
      </c>
      <c r="B171" t="s">
        <v>64</v>
      </c>
      <c r="C171">
        <v>1213</v>
      </c>
      <c r="D171">
        <v>372320</v>
      </c>
      <c r="E171">
        <v>22547379</v>
      </c>
      <c r="F171">
        <v>22545289</v>
      </c>
      <c r="G171">
        <v>32687</v>
      </c>
      <c r="H171">
        <v>8.7929999999999993</v>
      </c>
      <c r="I171">
        <v>31564</v>
      </c>
      <c r="J171">
        <v>8.49</v>
      </c>
      <c r="K171">
        <v>2718348</v>
      </c>
      <c r="L171">
        <v>932197</v>
      </c>
      <c r="M171">
        <v>1786151</v>
      </c>
      <c r="N171">
        <v>4.1349999999999998</v>
      </c>
      <c r="O171">
        <v>12.057</v>
      </c>
      <c r="P171">
        <v>2707641</v>
      </c>
      <c r="Q171">
        <v>872785</v>
      </c>
      <c r="R171">
        <v>1834856</v>
      </c>
      <c r="S171">
        <v>3.871</v>
      </c>
      <c r="T171">
        <v>12.01</v>
      </c>
      <c r="U171">
        <v>10707</v>
      </c>
      <c r="V171">
        <v>4.7E-2</v>
      </c>
      <c r="W171">
        <v>24.02</v>
      </c>
      <c r="X171">
        <v>0</v>
      </c>
      <c r="Y171">
        <v>0</v>
      </c>
      <c r="Z171">
        <v>0</v>
      </c>
    </row>
    <row r="172" spans="1:26" x14ac:dyDescent="0.25">
      <c r="A172">
        <v>1995</v>
      </c>
      <c r="B172" t="s">
        <v>54</v>
      </c>
      <c r="C172">
        <v>2714349</v>
      </c>
      <c r="D172">
        <v>2720480</v>
      </c>
      <c r="E172">
        <v>6448088</v>
      </c>
      <c r="F172">
        <v>6277863</v>
      </c>
      <c r="G172">
        <v>528421</v>
      </c>
      <c r="H172">
        <v>19.774000000000001</v>
      </c>
      <c r="I172">
        <v>432084</v>
      </c>
      <c r="J172">
        <v>16.169</v>
      </c>
      <c r="K172">
        <v>2110070</v>
      </c>
      <c r="L172">
        <v>1348002</v>
      </c>
      <c r="M172">
        <v>762068</v>
      </c>
      <c r="N172">
        <v>21.472000000000001</v>
      </c>
      <c r="O172">
        <v>33.610999999999997</v>
      </c>
      <c r="P172">
        <v>1767337</v>
      </c>
      <c r="Q172">
        <v>1080580</v>
      </c>
      <c r="R172">
        <v>686757</v>
      </c>
      <c r="S172">
        <v>17.213000000000001</v>
      </c>
      <c r="T172">
        <v>28.152000000000001</v>
      </c>
      <c r="U172">
        <v>342733</v>
      </c>
      <c r="V172">
        <v>5.4589999999999996</v>
      </c>
      <c r="W172">
        <v>56.304000000000002</v>
      </c>
      <c r="X172">
        <v>349958</v>
      </c>
      <c r="Y172">
        <v>351904</v>
      </c>
      <c r="Z172">
        <v>906413</v>
      </c>
    </row>
    <row r="173" spans="1:26" x14ac:dyDescent="0.25">
      <c r="A173">
        <v>1995</v>
      </c>
      <c r="B173" t="s">
        <v>55</v>
      </c>
      <c r="C173">
        <v>906826</v>
      </c>
      <c r="D173">
        <v>926227</v>
      </c>
      <c r="E173">
        <v>6469440</v>
      </c>
      <c r="F173">
        <v>6353223</v>
      </c>
      <c r="G173">
        <v>39624</v>
      </c>
      <c r="H173">
        <v>4.2889999999999997</v>
      </c>
      <c r="I173">
        <v>34919</v>
      </c>
      <c r="J173">
        <v>3.78</v>
      </c>
      <c r="K173">
        <v>1354401</v>
      </c>
      <c r="L173">
        <v>485074</v>
      </c>
      <c r="M173">
        <v>869327</v>
      </c>
      <c r="N173">
        <v>7.6349999999999998</v>
      </c>
      <c r="O173">
        <v>21.318000000000001</v>
      </c>
      <c r="P173">
        <v>1122631</v>
      </c>
      <c r="Q173">
        <v>420896</v>
      </c>
      <c r="R173">
        <v>701735</v>
      </c>
      <c r="S173">
        <v>6.625</v>
      </c>
      <c r="T173">
        <v>17.670000000000002</v>
      </c>
      <c r="U173">
        <v>231770</v>
      </c>
      <c r="V173">
        <v>3.6480000000000001</v>
      </c>
      <c r="W173">
        <v>35.341000000000001</v>
      </c>
      <c r="X173">
        <v>28024</v>
      </c>
      <c r="Y173">
        <v>30008</v>
      </c>
      <c r="Z173">
        <v>371847</v>
      </c>
    </row>
    <row r="174" spans="1:26" x14ac:dyDescent="0.25">
      <c r="A174">
        <v>1995</v>
      </c>
      <c r="B174" t="s">
        <v>56</v>
      </c>
      <c r="C174">
        <v>536613</v>
      </c>
      <c r="D174">
        <v>584148</v>
      </c>
      <c r="E174">
        <v>7653247</v>
      </c>
      <c r="F174">
        <v>7495498</v>
      </c>
      <c r="G174">
        <v>20732</v>
      </c>
      <c r="H174">
        <v>3.5550000000000002</v>
      </c>
      <c r="I174">
        <v>18891</v>
      </c>
      <c r="J174">
        <v>3.2389999999999999</v>
      </c>
      <c r="K174">
        <v>1433158</v>
      </c>
      <c r="L174">
        <v>434059</v>
      </c>
      <c r="M174">
        <v>999099</v>
      </c>
      <c r="N174">
        <v>5.7910000000000004</v>
      </c>
      <c r="O174">
        <v>19.12</v>
      </c>
      <c r="P174">
        <v>1117410</v>
      </c>
      <c r="Q174">
        <v>389615</v>
      </c>
      <c r="R174">
        <v>727795</v>
      </c>
      <c r="S174">
        <v>5.1980000000000004</v>
      </c>
      <c r="T174">
        <v>14.907999999999999</v>
      </c>
      <c r="U174">
        <v>315748</v>
      </c>
      <c r="V174">
        <v>4.2130000000000001</v>
      </c>
      <c r="W174">
        <v>29.815000000000001</v>
      </c>
      <c r="X174">
        <v>12593</v>
      </c>
      <c r="Y174">
        <v>14887</v>
      </c>
      <c r="Z174">
        <v>341018</v>
      </c>
    </row>
    <row r="175" spans="1:26" x14ac:dyDescent="0.25">
      <c r="A175">
        <v>1995</v>
      </c>
      <c r="B175" t="s">
        <v>57</v>
      </c>
      <c r="C175">
        <v>439475</v>
      </c>
      <c r="D175">
        <v>626927</v>
      </c>
      <c r="E175">
        <v>17952727</v>
      </c>
      <c r="F175">
        <v>17539100</v>
      </c>
      <c r="G175">
        <v>25946</v>
      </c>
      <c r="H175">
        <v>4.157</v>
      </c>
      <c r="I175">
        <v>20518</v>
      </c>
      <c r="J175">
        <v>3.2869999999999999</v>
      </c>
      <c r="K175">
        <v>2984438</v>
      </c>
      <c r="L175">
        <v>789247</v>
      </c>
      <c r="M175">
        <v>2195191</v>
      </c>
      <c r="N175">
        <v>4.5</v>
      </c>
      <c r="O175">
        <v>17.015999999999998</v>
      </c>
      <c r="P175">
        <v>2155697</v>
      </c>
      <c r="Q175">
        <v>673122</v>
      </c>
      <c r="R175">
        <v>1482575</v>
      </c>
      <c r="S175">
        <v>3.8380000000000001</v>
      </c>
      <c r="T175">
        <v>12.291</v>
      </c>
      <c r="U175">
        <v>828741</v>
      </c>
      <c r="V175">
        <v>4.7249999999999996</v>
      </c>
      <c r="W175">
        <v>24.582000000000001</v>
      </c>
      <c r="X175">
        <v>7398</v>
      </c>
      <c r="Y175">
        <v>11899</v>
      </c>
      <c r="Z175">
        <v>551863</v>
      </c>
    </row>
    <row r="176" spans="1:26" x14ac:dyDescent="0.25">
      <c r="A176">
        <v>1995</v>
      </c>
      <c r="B176" t="s">
        <v>58</v>
      </c>
      <c r="C176">
        <v>72527</v>
      </c>
      <c r="D176">
        <v>281014</v>
      </c>
      <c r="E176">
        <v>14059317</v>
      </c>
      <c r="F176">
        <v>13752495</v>
      </c>
      <c r="G176">
        <v>19067</v>
      </c>
      <c r="H176">
        <v>6.8609999999999998</v>
      </c>
      <c r="I176">
        <v>12872</v>
      </c>
      <c r="J176">
        <v>4.6319999999999997</v>
      </c>
      <c r="K176">
        <v>2183409</v>
      </c>
      <c r="L176">
        <v>589245</v>
      </c>
      <c r="M176">
        <v>1594164</v>
      </c>
      <c r="N176">
        <v>4.2850000000000001</v>
      </c>
      <c r="O176">
        <v>15.875999999999999</v>
      </c>
      <c r="P176">
        <v>1571199</v>
      </c>
      <c r="Q176">
        <v>434522</v>
      </c>
      <c r="R176">
        <v>1136677</v>
      </c>
      <c r="S176">
        <v>3.16</v>
      </c>
      <c r="T176">
        <v>11.425000000000001</v>
      </c>
      <c r="U176">
        <v>612210</v>
      </c>
      <c r="V176">
        <v>4.452</v>
      </c>
      <c r="W176">
        <v>22.85</v>
      </c>
      <c r="X176">
        <v>631</v>
      </c>
      <c r="Y176">
        <v>2098</v>
      </c>
      <c r="Z176">
        <v>219224</v>
      </c>
    </row>
    <row r="177" spans="1:26" x14ac:dyDescent="0.25">
      <c r="A177">
        <v>1995</v>
      </c>
      <c r="B177" t="s">
        <v>59</v>
      </c>
      <c r="C177">
        <v>8234</v>
      </c>
      <c r="D177">
        <v>88436</v>
      </c>
      <c r="E177">
        <v>5017742</v>
      </c>
      <c r="F177">
        <v>4905956</v>
      </c>
      <c r="G177">
        <v>8017</v>
      </c>
      <c r="H177">
        <v>9.2200000000000006</v>
      </c>
      <c r="I177">
        <v>5042</v>
      </c>
      <c r="J177">
        <v>5.7990000000000004</v>
      </c>
      <c r="K177">
        <v>739512</v>
      </c>
      <c r="L177">
        <v>233483</v>
      </c>
      <c r="M177">
        <v>506029</v>
      </c>
      <c r="N177">
        <v>4.7590000000000003</v>
      </c>
      <c r="O177">
        <v>15.074</v>
      </c>
      <c r="P177">
        <v>516045</v>
      </c>
      <c r="Q177">
        <v>134207</v>
      </c>
      <c r="R177">
        <v>381838</v>
      </c>
      <c r="S177">
        <v>2.7360000000000002</v>
      </c>
      <c r="T177">
        <v>10.519</v>
      </c>
      <c r="U177">
        <v>223467</v>
      </c>
      <c r="V177">
        <v>4.5549999999999997</v>
      </c>
      <c r="W177">
        <v>21.036999999999999</v>
      </c>
      <c r="X177">
        <v>30</v>
      </c>
      <c r="Y177">
        <v>472</v>
      </c>
      <c r="Z177">
        <v>41209</v>
      </c>
    </row>
    <row r="178" spans="1:26" x14ac:dyDescent="0.25">
      <c r="A178">
        <v>1995</v>
      </c>
      <c r="B178" t="s">
        <v>60</v>
      </c>
      <c r="C178">
        <v>5403</v>
      </c>
      <c r="D178">
        <v>114678</v>
      </c>
      <c r="E178">
        <v>6974182</v>
      </c>
      <c r="F178">
        <v>6843888</v>
      </c>
      <c r="G178">
        <v>11866</v>
      </c>
      <c r="H178">
        <v>10.545</v>
      </c>
      <c r="I178">
        <v>7557</v>
      </c>
      <c r="J178">
        <v>6.7160000000000002</v>
      </c>
      <c r="K178">
        <v>932531</v>
      </c>
      <c r="L178">
        <v>320567</v>
      </c>
      <c r="M178">
        <v>611964</v>
      </c>
      <c r="N178">
        <v>4.6840000000000002</v>
      </c>
      <c r="O178">
        <v>13.625999999999999</v>
      </c>
      <c r="P178">
        <v>672237</v>
      </c>
      <c r="Q178">
        <v>184618</v>
      </c>
      <c r="R178">
        <v>487619</v>
      </c>
      <c r="S178">
        <v>2.698</v>
      </c>
      <c r="T178">
        <v>9.8219999999999992</v>
      </c>
      <c r="U178">
        <v>260294</v>
      </c>
      <c r="V178">
        <v>3.8029999999999999</v>
      </c>
      <c r="W178">
        <v>19.645</v>
      </c>
      <c r="X178">
        <v>10</v>
      </c>
      <c r="Y178">
        <v>416</v>
      </c>
      <c r="Z178">
        <v>28898</v>
      </c>
    </row>
    <row r="179" spans="1:26" x14ac:dyDescent="0.25">
      <c r="A179">
        <v>1995</v>
      </c>
      <c r="B179" t="s">
        <v>61</v>
      </c>
      <c r="C179">
        <v>2280</v>
      </c>
      <c r="D179">
        <v>95412</v>
      </c>
      <c r="E179">
        <v>5621843</v>
      </c>
      <c r="F179">
        <v>5505496</v>
      </c>
      <c r="G179">
        <v>10432</v>
      </c>
      <c r="H179">
        <v>11.225</v>
      </c>
      <c r="I179">
        <v>5472</v>
      </c>
      <c r="J179">
        <v>5.8879999999999999</v>
      </c>
      <c r="K179">
        <v>746102</v>
      </c>
      <c r="L179">
        <v>247910</v>
      </c>
      <c r="M179">
        <v>498192</v>
      </c>
      <c r="N179">
        <v>4.5030000000000001</v>
      </c>
      <c r="O179">
        <v>13.552</v>
      </c>
      <c r="P179">
        <v>511320</v>
      </c>
      <c r="Q179">
        <v>125311</v>
      </c>
      <c r="R179">
        <v>386009</v>
      </c>
      <c r="S179">
        <v>2.2759999999999998</v>
      </c>
      <c r="T179">
        <v>9.2870000000000008</v>
      </c>
      <c r="U179">
        <v>234782</v>
      </c>
      <c r="V179">
        <v>4.2649999999999997</v>
      </c>
      <c r="W179">
        <v>18.574999999999999</v>
      </c>
      <c r="X179" t="s">
        <v>62</v>
      </c>
      <c r="Y179" t="s">
        <v>62</v>
      </c>
      <c r="Z179" t="s">
        <v>62</v>
      </c>
    </row>
    <row r="180" spans="1:26" x14ac:dyDescent="0.25">
      <c r="A180">
        <v>1995</v>
      </c>
      <c r="B180" t="s">
        <v>63</v>
      </c>
      <c r="C180">
        <v>1336</v>
      </c>
      <c r="D180">
        <v>93342</v>
      </c>
      <c r="E180">
        <v>5226736</v>
      </c>
      <c r="F180">
        <v>5160814</v>
      </c>
      <c r="G180">
        <v>10273</v>
      </c>
      <c r="H180">
        <v>11.269</v>
      </c>
      <c r="I180">
        <v>5909</v>
      </c>
      <c r="J180">
        <v>6.4820000000000002</v>
      </c>
      <c r="K180">
        <v>713556</v>
      </c>
      <c r="L180">
        <v>267564</v>
      </c>
      <c r="M180">
        <v>445992</v>
      </c>
      <c r="N180">
        <v>5.1849999999999996</v>
      </c>
      <c r="O180">
        <v>13.826000000000001</v>
      </c>
      <c r="P180">
        <v>581056</v>
      </c>
      <c r="Q180">
        <v>152893</v>
      </c>
      <c r="R180">
        <v>428163</v>
      </c>
      <c r="S180">
        <v>2.9630000000000001</v>
      </c>
      <c r="T180">
        <v>11.259</v>
      </c>
      <c r="U180">
        <v>132500</v>
      </c>
      <c r="V180">
        <v>2.5670000000000002</v>
      </c>
      <c r="W180">
        <v>22.518000000000001</v>
      </c>
      <c r="X180">
        <v>0</v>
      </c>
      <c r="Y180">
        <v>0</v>
      </c>
      <c r="Z180">
        <v>0</v>
      </c>
    </row>
    <row r="181" spans="1:26" x14ac:dyDescent="0.25">
      <c r="A181">
        <v>1995</v>
      </c>
      <c r="B181" t="s">
        <v>64</v>
      </c>
      <c r="C181">
        <v>1177</v>
      </c>
      <c r="D181">
        <v>391183</v>
      </c>
      <c r="E181">
        <v>23592984</v>
      </c>
      <c r="F181">
        <v>23446478</v>
      </c>
      <c r="G181">
        <v>31785</v>
      </c>
      <c r="H181">
        <v>8.1280000000000001</v>
      </c>
      <c r="I181">
        <v>31518</v>
      </c>
      <c r="J181">
        <v>8.06</v>
      </c>
      <c r="K181">
        <v>2837316</v>
      </c>
      <c r="L181">
        <v>969338</v>
      </c>
      <c r="M181">
        <v>1867978</v>
      </c>
      <c r="N181">
        <v>4.1340000000000003</v>
      </c>
      <c r="O181">
        <v>12.101000000000001</v>
      </c>
      <c r="P181">
        <v>2539154</v>
      </c>
      <c r="Q181">
        <v>718334</v>
      </c>
      <c r="R181">
        <v>1820820</v>
      </c>
      <c r="S181">
        <v>3.0640000000000001</v>
      </c>
      <c r="T181">
        <v>10.83</v>
      </c>
      <c r="U181">
        <v>298162</v>
      </c>
      <c r="V181">
        <v>1.272</v>
      </c>
      <c r="W181">
        <v>21.658999999999999</v>
      </c>
      <c r="X181">
        <v>0</v>
      </c>
      <c r="Y181">
        <v>0</v>
      </c>
      <c r="Z181">
        <v>0</v>
      </c>
    </row>
    <row r="182" spans="1:26" x14ac:dyDescent="0.25">
      <c r="A182">
        <v>1996</v>
      </c>
      <c r="B182" t="s">
        <v>54</v>
      </c>
      <c r="C182">
        <v>2743336</v>
      </c>
      <c r="D182">
        <v>2749290</v>
      </c>
      <c r="E182">
        <v>6479065</v>
      </c>
      <c r="F182">
        <v>6354303</v>
      </c>
      <c r="G182">
        <v>522429</v>
      </c>
      <c r="H182">
        <v>19.256</v>
      </c>
      <c r="I182">
        <v>450100</v>
      </c>
      <c r="J182">
        <v>16.59</v>
      </c>
      <c r="K182">
        <v>2076633</v>
      </c>
      <c r="L182">
        <v>1332810</v>
      </c>
      <c r="M182">
        <v>743823</v>
      </c>
      <c r="N182">
        <v>20.975000000000001</v>
      </c>
      <c r="O182">
        <v>32.680999999999997</v>
      </c>
      <c r="P182">
        <v>1826063</v>
      </c>
      <c r="Q182">
        <v>1125589</v>
      </c>
      <c r="R182">
        <v>700474</v>
      </c>
      <c r="S182">
        <v>17.713999999999999</v>
      </c>
      <c r="T182">
        <v>28.736999999999998</v>
      </c>
      <c r="U182">
        <v>250570</v>
      </c>
      <c r="V182">
        <v>3.9430000000000001</v>
      </c>
      <c r="W182">
        <v>57.475000000000001</v>
      </c>
      <c r="X182">
        <v>364924</v>
      </c>
      <c r="Y182">
        <v>366889</v>
      </c>
      <c r="Z182">
        <v>945254</v>
      </c>
    </row>
    <row r="183" spans="1:26" x14ac:dyDescent="0.25">
      <c r="A183">
        <v>1996</v>
      </c>
      <c r="B183" t="s">
        <v>55</v>
      </c>
      <c r="C183">
        <v>915341</v>
      </c>
      <c r="D183">
        <v>934444</v>
      </c>
      <c r="E183">
        <v>6496848</v>
      </c>
      <c r="F183">
        <v>6424318</v>
      </c>
      <c r="G183">
        <v>39646</v>
      </c>
      <c r="H183">
        <v>4.25</v>
      </c>
      <c r="I183">
        <v>36608</v>
      </c>
      <c r="J183">
        <v>3.9239999999999999</v>
      </c>
      <c r="K183">
        <v>1321639</v>
      </c>
      <c r="L183">
        <v>487089</v>
      </c>
      <c r="M183">
        <v>834550</v>
      </c>
      <c r="N183">
        <v>7.5819999999999999</v>
      </c>
      <c r="O183">
        <v>20.571999999999999</v>
      </c>
      <c r="P183">
        <v>1175732</v>
      </c>
      <c r="Q183">
        <v>445233</v>
      </c>
      <c r="R183">
        <v>730499</v>
      </c>
      <c r="S183">
        <v>6.93</v>
      </c>
      <c r="T183">
        <v>18.300999999999998</v>
      </c>
      <c r="U183">
        <v>145907</v>
      </c>
      <c r="V183">
        <v>2.2709999999999999</v>
      </c>
      <c r="W183">
        <v>36.603000000000002</v>
      </c>
      <c r="X183">
        <v>29439</v>
      </c>
      <c r="Y183">
        <v>31383</v>
      </c>
      <c r="Z183">
        <v>392865</v>
      </c>
    </row>
    <row r="184" spans="1:26" x14ac:dyDescent="0.25">
      <c r="A184">
        <v>1996</v>
      </c>
      <c r="B184" t="s">
        <v>56</v>
      </c>
      <c r="C184">
        <v>542308</v>
      </c>
      <c r="D184">
        <v>587946</v>
      </c>
      <c r="E184">
        <v>7658432</v>
      </c>
      <c r="F184">
        <v>7574088</v>
      </c>
      <c r="G184">
        <v>21141</v>
      </c>
      <c r="H184">
        <v>3.601</v>
      </c>
      <c r="I184">
        <v>19512</v>
      </c>
      <c r="J184">
        <v>3.323</v>
      </c>
      <c r="K184">
        <v>1372731</v>
      </c>
      <c r="L184">
        <v>441793</v>
      </c>
      <c r="M184">
        <v>930938</v>
      </c>
      <c r="N184">
        <v>5.8330000000000002</v>
      </c>
      <c r="O184">
        <v>18.123999999999999</v>
      </c>
      <c r="P184">
        <v>1203889</v>
      </c>
      <c r="Q184">
        <v>412190</v>
      </c>
      <c r="R184">
        <v>791699</v>
      </c>
      <c r="S184">
        <v>5.4420000000000002</v>
      </c>
      <c r="T184">
        <v>15.895</v>
      </c>
      <c r="U184">
        <v>168842</v>
      </c>
      <c r="V184">
        <v>2.2290000000000001</v>
      </c>
      <c r="W184">
        <v>31.79</v>
      </c>
      <c r="X184">
        <v>13334</v>
      </c>
      <c r="Y184">
        <v>15388</v>
      </c>
      <c r="Z184">
        <v>360425</v>
      </c>
    </row>
    <row r="185" spans="1:26" x14ac:dyDescent="0.25">
      <c r="A185">
        <v>1996</v>
      </c>
      <c r="B185" t="s">
        <v>57</v>
      </c>
      <c r="C185">
        <v>445093</v>
      </c>
      <c r="D185">
        <v>631686</v>
      </c>
      <c r="E185">
        <v>17948689</v>
      </c>
      <c r="F185">
        <v>17783451</v>
      </c>
      <c r="G185">
        <v>25899</v>
      </c>
      <c r="H185">
        <v>4.1150000000000002</v>
      </c>
      <c r="I185">
        <v>21350</v>
      </c>
      <c r="J185">
        <v>3.3919999999999999</v>
      </c>
      <c r="K185">
        <v>2775638</v>
      </c>
      <c r="L185">
        <v>803602</v>
      </c>
      <c r="M185">
        <v>1972036</v>
      </c>
      <c r="N185">
        <v>4.5190000000000001</v>
      </c>
      <c r="O185">
        <v>15.608000000000001</v>
      </c>
      <c r="P185">
        <v>2445428</v>
      </c>
      <c r="Q185">
        <v>736692</v>
      </c>
      <c r="R185">
        <v>1708736</v>
      </c>
      <c r="S185">
        <v>4.1429999999999998</v>
      </c>
      <c r="T185">
        <v>13.750999999999999</v>
      </c>
      <c r="U185">
        <v>330210</v>
      </c>
      <c r="V185">
        <v>1.857</v>
      </c>
      <c r="W185">
        <v>27.501999999999999</v>
      </c>
      <c r="X185">
        <v>8095</v>
      </c>
      <c r="Y185">
        <v>12823</v>
      </c>
      <c r="Z185">
        <v>600362</v>
      </c>
    </row>
    <row r="186" spans="1:26" x14ac:dyDescent="0.25">
      <c r="A186">
        <v>1996</v>
      </c>
      <c r="B186" t="s">
        <v>58</v>
      </c>
      <c r="C186">
        <v>72241</v>
      </c>
      <c r="D186">
        <v>285322</v>
      </c>
      <c r="E186">
        <v>13873466</v>
      </c>
      <c r="F186">
        <v>13750074</v>
      </c>
      <c r="G186">
        <v>19378</v>
      </c>
      <c r="H186">
        <v>6.8710000000000004</v>
      </c>
      <c r="I186">
        <v>12787</v>
      </c>
      <c r="J186">
        <v>4.5339999999999998</v>
      </c>
      <c r="K186">
        <v>1998590</v>
      </c>
      <c r="L186">
        <v>581081</v>
      </c>
      <c r="M186">
        <v>1417509</v>
      </c>
      <c r="N186">
        <v>4.226</v>
      </c>
      <c r="O186">
        <v>14.535</v>
      </c>
      <c r="P186">
        <v>1753326</v>
      </c>
      <c r="Q186">
        <v>459099</v>
      </c>
      <c r="R186">
        <v>1294227</v>
      </c>
      <c r="S186">
        <v>3.339</v>
      </c>
      <c r="T186">
        <v>12.750999999999999</v>
      </c>
      <c r="U186">
        <v>245264</v>
      </c>
      <c r="V186">
        <v>1.784</v>
      </c>
      <c r="W186">
        <v>25.503</v>
      </c>
      <c r="X186">
        <v>737</v>
      </c>
      <c r="Y186">
        <v>2376</v>
      </c>
      <c r="Z186">
        <v>253056</v>
      </c>
    </row>
    <row r="187" spans="1:26" x14ac:dyDescent="0.25">
      <c r="A187">
        <v>1996</v>
      </c>
      <c r="B187" t="s">
        <v>59</v>
      </c>
      <c r="C187">
        <v>8370</v>
      </c>
      <c r="D187">
        <v>87938</v>
      </c>
      <c r="E187">
        <v>5049353</v>
      </c>
      <c r="F187">
        <v>4991440</v>
      </c>
      <c r="G187">
        <v>7220</v>
      </c>
      <c r="H187">
        <v>8.2690000000000001</v>
      </c>
      <c r="I187">
        <v>5982</v>
      </c>
      <c r="J187">
        <v>6.851</v>
      </c>
      <c r="K187">
        <v>714599</v>
      </c>
      <c r="L187">
        <v>217296</v>
      </c>
      <c r="M187">
        <v>497303</v>
      </c>
      <c r="N187">
        <v>4.3529999999999998</v>
      </c>
      <c r="O187">
        <v>14.316000000000001</v>
      </c>
      <c r="P187">
        <v>597265</v>
      </c>
      <c r="Q187">
        <v>164603</v>
      </c>
      <c r="R187">
        <v>432662</v>
      </c>
      <c r="S187">
        <v>3.298</v>
      </c>
      <c r="T187">
        <v>11.965999999999999</v>
      </c>
      <c r="U187">
        <v>117334</v>
      </c>
      <c r="V187">
        <v>2.351</v>
      </c>
      <c r="W187">
        <v>23.931999999999999</v>
      </c>
      <c r="X187">
        <v>36</v>
      </c>
      <c r="Y187">
        <v>287</v>
      </c>
      <c r="Z187">
        <v>49048</v>
      </c>
    </row>
    <row r="188" spans="1:26" x14ac:dyDescent="0.25">
      <c r="A188">
        <v>1996</v>
      </c>
      <c r="B188" t="s">
        <v>60</v>
      </c>
      <c r="C188">
        <v>5381</v>
      </c>
      <c r="D188">
        <v>112355</v>
      </c>
      <c r="E188">
        <v>6945573</v>
      </c>
      <c r="F188">
        <v>6875062</v>
      </c>
      <c r="G188">
        <v>10511</v>
      </c>
      <c r="H188">
        <v>9.4909999999999997</v>
      </c>
      <c r="I188">
        <v>7293</v>
      </c>
      <c r="J188">
        <v>6.585</v>
      </c>
      <c r="K188">
        <v>906764</v>
      </c>
      <c r="L188">
        <v>305617</v>
      </c>
      <c r="M188">
        <v>601147</v>
      </c>
      <c r="N188">
        <v>4.4450000000000003</v>
      </c>
      <c r="O188">
        <v>13.189</v>
      </c>
      <c r="P188">
        <v>768053</v>
      </c>
      <c r="Q188">
        <v>200135</v>
      </c>
      <c r="R188">
        <v>567918</v>
      </c>
      <c r="S188">
        <v>2.911</v>
      </c>
      <c r="T188">
        <v>11.172000000000001</v>
      </c>
      <c r="U188">
        <v>138711</v>
      </c>
      <c r="V188">
        <v>2.0179999999999998</v>
      </c>
      <c r="W188">
        <v>22.343</v>
      </c>
      <c r="X188">
        <v>9</v>
      </c>
      <c r="Y188">
        <v>42</v>
      </c>
      <c r="Z188">
        <v>23486</v>
      </c>
    </row>
    <row r="189" spans="1:26" x14ac:dyDescent="0.25">
      <c r="A189">
        <v>1996</v>
      </c>
      <c r="B189" t="s">
        <v>61</v>
      </c>
      <c r="C189">
        <v>2179</v>
      </c>
      <c r="D189">
        <v>98490</v>
      </c>
      <c r="E189">
        <v>5457692</v>
      </c>
      <c r="F189">
        <v>5403909</v>
      </c>
      <c r="G189">
        <v>10014</v>
      </c>
      <c r="H189">
        <v>10.34</v>
      </c>
      <c r="I189">
        <v>6733</v>
      </c>
      <c r="J189">
        <v>6.952</v>
      </c>
      <c r="K189">
        <v>686201</v>
      </c>
      <c r="L189">
        <v>230500</v>
      </c>
      <c r="M189">
        <v>455701</v>
      </c>
      <c r="N189">
        <v>4.2649999999999997</v>
      </c>
      <c r="O189">
        <v>12.698</v>
      </c>
      <c r="P189">
        <v>581259</v>
      </c>
      <c r="Q189">
        <v>143476</v>
      </c>
      <c r="R189">
        <v>437783</v>
      </c>
      <c r="S189">
        <v>2.6549999999999998</v>
      </c>
      <c r="T189">
        <v>10.756</v>
      </c>
      <c r="U189">
        <v>104942</v>
      </c>
      <c r="V189">
        <v>1.9419999999999999</v>
      </c>
      <c r="W189">
        <v>21.513000000000002</v>
      </c>
      <c r="X189" t="s">
        <v>62</v>
      </c>
      <c r="Y189" t="s">
        <v>62</v>
      </c>
      <c r="Z189" t="s">
        <v>62</v>
      </c>
    </row>
    <row r="190" spans="1:26" x14ac:dyDescent="0.25">
      <c r="A190">
        <v>1996</v>
      </c>
      <c r="B190" t="s">
        <v>63</v>
      </c>
      <c r="C190">
        <v>1315</v>
      </c>
      <c r="D190">
        <v>108303</v>
      </c>
      <c r="E190">
        <v>5593211</v>
      </c>
      <c r="F190">
        <v>5521307</v>
      </c>
      <c r="G190">
        <v>10396</v>
      </c>
      <c r="H190">
        <v>9.7449999999999992</v>
      </c>
      <c r="I190">
        <v>7140</v>
      </c>
      <c r="J190">
        <v>6.6929999999999996</v>
      </c>
      <c r="K190">
        <v>743231</v>
      </c>
      <c r="L190">
        <v>261367</v>
      </c>
      <c r="M190">
        <v>481864</v>
      </c>
      <c r="N190">
        <v>4.734</v>
      </c>
      <c r="O190">
        <v>13.461</v>
      </c>
      <c r="P190">
        <v>601423</v>
      </c>
      <c r="Q190">
        <v>148987</v>
      </c>
      <c r="R190">
        <v>452436</v>
      </c>
      <c r="S190">
        <v>2.698</v>
      </c>
      <c r="T190">
        <v>10.893000000000001</v>
      </c>
      <c r="U190">
        <v>141808</v>
      </c>
      <c r="V190">
        <v>2.5680000000000001</v>
      </c>
      <c r="W190">
        <v>21.786000000000001</v>
      </c>
      <c r="X190">
        <v>0</v>
      </c>
      <c r="Y190">
        <v>0</v>
      </c>
      <c r="Z190">
        <v>0</v>
      </c>
    </row>
    <row r="191" spans="1:26" x14ac:dyDescent="0.25">
      <c r="A191">
        <v>1996</v>
      </c>
      <c r="B191" t="s">
        <v>64</v>
      </c>
      <c r="C191">
        <v>1168</v>
      </c>
      <c r="D191">
        <v>403913</v>
      </c>
      <c r="E191">
        <v>24540268</v>
      </c>
      <c r="F191">
        <v>24459201</v>
      </c>
      <c r="G191">
        <v>35004</v>
      </c>
      <c r="H191">
        <v>8.7010000000000005</v>
      </c>
      <c r="I191">
        <v>31818</v>
      </c>
      <c r="J191">
        <v>7.9089999999999998</v>
      </c>
      <c r="K191">
        <v>3142465</v>
      </c>
      <c r="L191">
        <v>1099989</v>
      </c>
      <c r="M191">
        <v>2042476</v>
      </c>
      <c r="N191">
        <v>4.4969999999999999</v>
      </c>
      <c r="O191">
        <v>12.848000000000001</v>
      </c>
      <c r="P191">
        <v>2980038</v>
      </c>
      <c r="Q191">
        <v>813864</v>
      </c>
      <c r="R191">
        <v>2166174</v>
      </c>
      <c r="S191">
        <v>3.327</v>
      </c>
      <c r="T191">
        <v>12.183999999999999</v>
      </c>
      <c r="U191">
        <v>162427</v>
      </c>
      <c r="V191">
        <v>0.66400000000000003</v>
      </c>
      <c r="W191">
        <v>24.367000000000001</v>
      </c>
      <c r="X191">
        <v>0</v>
      </c>
      <c r="Y191">
        <v>0</v>
      </c>
      <c r="Z191">
        <v>0</v>
      </c>
    </row>
    <row r="192" spans="1:26" x14ac:dyDescent="0.25">
      <c r="A192">
        <v>1997</v>
      </c>
      <c r="B192" t="s">
        <v>54</v>
      </c>
      <c r="C192">
        <v>2771405</v>
      </c>
      <c r="D192">
        <v>2775714</v>
      </c>
      <c r="E192">
        <v>6548374</v>
      </c>
      <c r="F192">
        <v>6436595</v>
      </c>
      <c r="G192">
        <v>525337</v>
      </c>
      <c r="H192">
        <v>19.126000000000001</v>
      </c>
      <c r="I192">
        <v>467263</v>
      </c>
      <c r="J192">
        <v>17.012</v>
      </c>
      <c r="K192">
        <v>2098239</v>
      </c>
      <c r="L192">
        <v>1333827</v>
      </c>
      <c r="M192">
        <v>764412</v>
      </c>
      <c r="N192">
        <v>20.722999999999999</v>
      </c>
      <c r="O192">
        <v>32.598999999999997</v>
      </c>
      <c r="P192">
        <v>1872581</v>
      </c>
      <c r="Q192">
        <v>1179944</v>
      </c>
      <c r="R192">
        <v>692637</v>
      </c>
      <c r="S192">
        <v>18.332000000000001</v>
      </c>
      <c r="T192">
        <v>29.093</v>
      </c>
      <c r="U192">
        <v>225658</v>
      </c>
      <c r="V192">
        <v>3.5059999999999998</v>
      </c>
      <c r="W192">
        <v>58.185000000000002</v>
      </c>
      <c r="X192">
        <v>378381</v>
      </c>
      <c r="Y192">
        <v>381006</v>
      </c>
      <c r="Z192">
        <v>988143</v>
      </c>
    </row>
    <row r="193" spans="1:26" x14ac:dyDescent="0.25">
      <c r="A193">
        <v>1997</v>
      </c>
      <c r="B193" t="s">
        <v>55</v>
      </c>
      <c r="C193">
        <v>924760</v>
      </c>
      <c r="D193">
        <v>941114</v>
      </c>
      <c r="E193">
        <v>6580590</v>
      </c>
      <c r="F193">
        <v>6507828</v>
      </c>
      <c r="G193">
        <v>42141</v>
      </c>
      <c r="H193">
        <v>4.4749999999999996</v>
      </c>
      <c r="I193">
        <v>43176</v>
      </c>
      <c r="J193">
        <v>4.585</v>
      </c>
      <c r="K193">
        <v>1361812</v>
      </c>
      <c r="L193">
        <v>496513</v>
      </c>
      <c r="M193">
        <v>865299</v>
      </c>
      <c r="N193">
        <v>7.6289999999999996</v>
      </c>
      <c r="O193">
        <v>20.925999999999998</v>
      </c>
      <c r="P193">
        <v>1217378</v>
      </c>
      <c r="Q193">
        <v>492872</v>
      </c>
      <c r="R193">
        <v>724506</v>
      </c>
      <c r="S193">
        <v>7.5739999999999998</v>
      </c>
      <c r="T193">
        <v>18.706</v>
      </c>
      <c r="U193">
        <v>144434</v>
      </c>
      <c r="V193">
        <v>2.2189999999999999</v>
      </c>
      <c r="W193">
        <v>37.412999999999997</v>
      </c>
      <c r="X193">
        <v>31469</v>
      </c>
      <c r="Y193">
        <v>33557</v>
      </c>
      <c r="Z193">
        <v>419723</v>
      </c>
    </row>
    <row r="194" spans="1:26" x14ac:dyDescent="0.25">
      <c r="A194">
        <v>1997</v>
      </c>
      <c r="B194" t="s">
        <v>56</v>
      </c>
      <c r="C194">
        <v>549919</v>
      </c>
      <c r="D194">
        <v>592940</v>
      </c>
      <c r="E194">
        <v>7802792</v>
      </c>
      <c r="F194">
        <v>7707876</v>
      </c>
      <c r="G194">
        <v>24140</v>
      </c>
      <c r="H194">
        <v>4.0650000000000004</v>
      </c>
      <c r="I194">
        <v>25998</v>
      </c>
      <c r="J194">
        <v>4.3780000000000001</v>
      </c>
      <c r="K194">
        <v>1461555</v>
      </c>
      <c r="L194">
        <v>451809</v>
      </c>
      <c r="M194">
        <v>1009746</v>
      </c>
      <c r="N194">
        <v>5.8620000000000001</v>
      </c>
      <c r="O194">
        <v>18.962</v>
      </c>
      <c r="P194">
        <v>1272528</v>
      </c>
      <c r="Q194">
        <v>475827</v>
      </c>
      <c r="R194">
        <v>796701</v>
      </c>
      <c r="S194">
        <v>6.173</v>
      </c>
      <c r="T194">
        <v>16.509</v>
      </c>
      <c r="U194">
        <v>189027</v>
      </c>
      <c r="V194">
        <v>2.452</v>
      </c>
      <c r="W194">
        <v>33.018999999999998</v>
      </c>
      <c r="X194">
        <v>14563</v>
      </c>
      <c r="Y194">
        <v>16846</v>
      </c>
      <c r="Z194">
        <v>393434</v>
      </c>
    </row>
    <row r="195" spans="1:26" x14ac:dyDescent="0.25">
      <c r="A195">
        <v>1997</v>
      </c>
      <c r="B195" t="s">
        <v>57</v>
      </c>
      <c r="C195">
        <v>453953</v>
      </c>
      <c r="D195">
        <v>641858</v>
      </c>
      <c r="E195">
        <v>18539882</v>
      </c>
      <c r="F195">
        <v>18210011</v>
      </c>
      <c r="G195">
        <v>32392</v>
      </c>
      <c r="H195">
        <v>5.0579999999999998</v>
      </c>
      <c r="I195">
        <v>29597</v>
      </c>
      <c r="J195">
        <v>4.6210000000000004</v>
      </c>
      <c r="K195">
        <v>3245317</v>
      </c>
      <c r="L195">
        <v>859273</v>
      </c>
      <c r="M195">
        <v>2386044</v>
      </c>
      <c r="N195">
        <v>4.7190000000000003</v>
      </c>
      <c r="O195">
        <v>17.821999999999999</v>
      </c>
      <c r="P195">
        <v>2584289</v>
      </c>
      <c r="Q195">
        <v>877200</v>
      </c>
      <c r="R195">
        <v>1707089</v>
      </c>
      <c r="S195">
        <v>4.8170000000000002</v>
      </c>
      <c r="T195">
        <v>14.192</v>
      </c>
      <c r="U195">
        <v>661028</v>
      </c>
      <c r="V195">
        <v>3.63</v>
      </c>
      <c r="W195">
        <v>28.382999999999999</v>
      </c>
      <c r="X195">
        <v>8830</v>
      </c>
      <c r="Y195">
        <v>13454</v>
      </c>
      <c r="Z195">
        <v>655084</v>
      </c>
    </row>
    <row r="196" spans="1:26" x14ac:dyDescent="0.25">
      <c r="A196">
        <v>1997</v>
      </c>
      <c r="B196" t="s">
        <v>58</v>
      </c>
      <c r="C196">
        <v>73694</v>
      </c>
      <c r="D196">
        <v>292637</v>
      </c>
      <c r="E196">
        <v>14404852</v>
      </c>
      <c r="F196">
        <v>14121508</v>
      </c>
      <c r="G196">
        <v>23432</v>
      </c>
      <c r="H196">
        <v>8.109</v>
      </c>
      <c r="I196">
        <v>16093</v>
      </c>
      <c r="J196">
        <v>5.569</v>
      </c>
      <c r="K196">
        <v>2458530</v>
      </c>
      <c r="L196">
        <v>667861</v>
      </c>
      <c r="M196">
        <v>1790669</v>
      </c>
      <c r="N196">
        <v>4.7290000000000001</v>
      </c>
      <c r="O196">
        <v>17.41</v>
      </c>
      <c r="P196">
        <v>1889952</v>
      </c>
      <c r="Q196">
        <v>575460</v>
      </c>
      <c r="R196">
        <v>1314492</v>
      </c>
      <c r="S196">
        <v>4.0750000000000002</v>
      </c>
      <c r="T196">
        <v>13.384</v>
      </c>
      <c r="U196">
        <v>568578</v>
      </c>
      <c r="V196">
        <v>4.0259999999999998</v>
      </c>
      <c r="W196">
        <v>26.766999999999999</v>
      </c>
      <c r="X196">
        <v>887</v>
      </c>
      <c r="Y196">
        <v>3082</v>
      </c>
      <c r="Z196">
        <v>314277</v>
      </c>
    </row>
    <row r="197" spans="1:26" x14ac:dyDescent="0.25">
      <c r="A197">
        <v>1997</v>
      </c>
      <c r="B197" t="s">
        <v>59</v>
      </c>
      <c r="C197">
        <v>8411</v>
      </c>
      <c r="D197">
        <v>92182</v>
      </c>
      <c r="E197">
        <v>5213489</v>
      </c>
      <c r="F197">
        <v>5140245</v>
      </c>
      <c r="G197">
        <v>9639</v>
      </c>
      <c r="H197">
        <v>10.645</v>
      </c>
      <c r="I197">
        <v>6368</v>
      </c>
      <c r="J197">
        <v>7.0330000000000004</v>
      </c>
      <c r="K197">
        <v>820065</v>
      </c>
      <c r="L197">
        <v>261708</v>
      </c>
      <c r="M197">
        <v>558357</v>
      </c>
      <c r="N197">
        <v>5.0910000000000002</v>
      </c>
      <c r="O197">
        <v>15.954000000000001</v>
      </c>
      <c r="P197">
        <v>673046</v>
      </c>
      <c r="Q197">
        <v>210819</v>
      </c>
      <c r="R197">
        <v>462227</v>
      </c>
      <c r="S197">
        <v>4.101</v>
      </c>
      <c r="T197">
        <v>13.093999999999999</v>
      </c>
      <c r="U197">
        <v>147019</v>
      </c>
      <c r="V197">
        <v>2.86</v>
      </c>
      <c r="W197">
        <v>26.187000000000001</v>
      </c>
      <c r="X197">
        <v>56</v>
      </c>
      <c r="Y197">
        <v>778</v>
      </c>
      <c r="Z197">
        <v>82268</v>
      </c>
    </row>
    <row r="198" spans="1:26" x14ac:dyDescent="0.25">
      <c r="A198">
        <v>1997</v>
      </c>
      <c r="B198" t="s">
        <v>60</v>
      </c>
      <c r="C198">
        <v>5369</v>
      </c>
      <c r="D198">
        <v>118478</v>
      </c>
      <c r="E198">
        <v>7148066</v>
      </c>
      <c r="F198">
        <v>7020500</v>
      </c>
      <c r="G198">
        <v>13441</v>
      </c>
      <c r="H198">
        <v>11.512</v>
      </c>
      <c r="I198">
        <v>10006</v>
      </c>
      <c r="J198">
        <v>8.57</v>
      </c>
      <c r="K198">
        <v>1159115</v>
      </c>
      <c r="L198">
        <v>412698</v>
      </c>
      <c r="M198">
        <v>746417</v>
      </c>
      <c r="N198">
        <v>5.8780000000000001</v>
      </c>
      <c r="O198">
        <v>16.510000000000002</v>
      </c>
      <c r="P198">
        <v>902064</v>
      </c>
      <c r="Q198">
        <v>262223</v>
      </c>
      <c r="R198">
        <v>639841</v>
      </c>
      <c r="S198">
        <v>3.7349999999999999</v>
      </c>
      <c r="T198">
        <v>12.849</v>
      </c>
      <c r="U198">
        <v>257051</v>
      </c>
      <c r="V198">
        <v>3.661</v>
      </c>
      <c r="W198">
        <v>25.698</v>
      </c>
      <c r="X198">
        <v>14</v>
      </c>
      <c r="Y198">
        <v>422</v>
      </c>
      <c r="Z198">
        <v>37584</v>
      </c>
    </row>
    <row r="199" spans="1:26" x14ac:dyDescent="0.25">
      <c r="A199">
        <v>1997</v>
      </c>
      <c r="B199" t="s">
        <v>61</v>
      </c>
      <c r="C199">
        <v>2160</v>
      </c>
      <c r="D199">
        <v>93284</v>
      </c>
      <c r="E199">
        <v>5505507</v>
      </c>
      <c r="F199">
        <v>5487796</v>
      </c>
      <c r="G199">
        <v>11002</v>
      </c>
      <c r="H199">
        <v>11.913</v>
      </c>
      <c r="I199">
        <v>9137</v>
      </c>
      <c r="J199">
        <v>9.8940000000000001</v>
      </c>
      <c r="K199">
        <v>816236</v>
      </c>
      <c r="L199">
        <v>288589</v>
      </c>
      <c r="M199">
        <v>527647</v>
      </c>
      <c r="N199">
        <v>5.2590000000000003</v>
      </c>
      <c r="O199">
        <v>14.874000000000001</v>
      </c>
      <c r="P199">
        <v>780090</v>
      </c>
      <c r="Q199">
        <v>237742</v>
      </c>
      <c r="R199">
        <v>542348</v>
      </c>
      <c r="S199">
        <v>4.3319999999999999</v>
      </c>
      <c r="T199">
        <v>14.215</v>
      </c>
      <c r="U199">
        <v>36146</v>
      </c>
      <c r="V199">
        <v>0.65900000000000003</v>
      </c>
      <c r="W199">
        <v>28.43</v>
      </c>
      <c r="X199">
        <v>3</v>
      </c>
      <c r="Y199">
        <v>3</v>
      </c>
      <c r="Z199">
        <v>21865</v>
      </c>
    </row>
    <row r="200" spans="1:26" x14ac:dyDescent="0.25">
      <c r="A200">
        <v>1997</v>
      </c>
      <c r="B200" t="s">
        <v>63</v>
      </c>
      <c r="C200">
        <v>1217</v>
      </c>
      <c r="D200">
        <v>103935</v>
      </c>
      <c r="E200">
        <v>5587671</v>
      </c>
      <c r="F200">
        <v>5554929</v>
      </c>
      <c r="G200">
        <v>11741</v>
      </c>
      <c r="H200">
        <v>11.395</v>
      </c>
      <c r="I200">
        <v>9951</v>
      </c>
      <c r="J200">
        <v>9.657</v>
      </c>
      <c r="K200">
        <v>812324</v>
      </c>
      <c r="L200">
        <v>288947</v>
      </c>
      <c r="M200">
        <v>523377</v>
      </c>
      <c r="N200">
        <v>5.202</v>
      </c>
      <c r="O200">
        <v>14.622999999999999</v>
      </c>
      <c r="P200">
        <v>748171</v>
      </c>
      <c r="Q200">
        <v>216668</v>
      </c>
      <c r="R200">
        <v>531503</v>
      </c>
      <c r="S200">
        <v>3.9</v>
      </c>
      <c r="T200">
        <v>13.468999999999999</v>
      </c>
      <c r="U200">
        <v>64153</v>
      </c>
      <c r="V200">
        <v>1.155</v>
      </c>
      <c r="W200">
        <v>26.937000000000001</v>
      </c>
      <c r="X200">
        <v>0</v>
      </c>
      <c r="Y200">
        <v>0</v>
      </c>
      <c r="Z200">
        <v>0</v>
      </c>
    </row>
    <row r="201" spans="1:26" x14ac:dyDescent="0.25">
      <c r="A201">
        <v>1997</v>
      </c>
      <c r="B201" t="s">
        <v>64</v>
      </c>
      <c r="C201">
        <v>1004</v>
      </c>
      <c r="D201">
        <v>423543</v>
      </c>
      <c r="E201">
        <v>25765217</v>
      </c>
      <c r="F201">
        <v>25550996</v>
      </c>
      <c r="G201">
        <v>43447</v>
      </c>
      <c r="H201">
        <v>10.243</v>
      </c>
      <c r="I201">
        <v>44714</v>
      </c>
      <c r="J201">
        <v>10.541</v>
      </c>
      <c r="K201">
        <v>3949974</v>
      </c>
      <c r="L201">
        <v>1358382</v>
      </c>
      <c r="M201">
        <v>2591592</v>
      </c>
      <c r="N201">
        <v>5.3159999999999998</v>
      </c>
      <c r="O201">
        <v>15.459</v>
      </c>
      <c r="P201">
        <v>3505385</v>
      </c>
      <c r="Q201">
        <v>1240904</v>
      </c>
      <c r="R201">
        <v>2264481</v>
      </c>
      <c r="S201">
        <v>4.8570000000000002</v>
      </c>
      <c r="T201">
        <v>13.718999999999999</v>
      </c>
      <c r="U201">
        <v>444589</v>
      </c>
      <c r="V201">
        <v>1.74</v>
      </c>
      <c r="W201">
        <v>27.437999999999999</v>
      </c>
      <c r="X201">
        <v>0</v>
      </c>
      <c r="Y201">
        <v>0</v>
      </c>
      <c r="Z201">
        <v>0</v>
      </c>
    </row>
    <row r="202" spans="1:26" x14ac:dyDescent="0.25">
      <c r="A202">
        <v>1998</v>
      </c>
      <c r="B202" t="s">
        <v>54</v>
      </c>
      <c r="C202">
        <v>2801777</v>
      </c>
      <c r="D202">
        <v>2804996</v>
      </c>
      <c r="E202">
        <v>6595805</v>
      </c>
      <c r="F202">
        <v>6501534</v>
      </c>
      <c r="G202">
        <v>507641</v>
      </c>
      <c r="H202">
        <v>18.291</v>
      </c>
      <c r="I202">
        <v>448278</v>
      </c>
      <c r="J202">
        <v>16.152000000000001</v>
      </c>
      <c r="K202">
        <v>2040964</v>
      </c>
      <c r="L202">
        <v>1282685</v>
      </c>
      <c r="M202">
        <v>758279</v>
      </c>
      <c r="N202">
        <v>19.728999999999999</v>
      </c>
      <c r="O202">
        <v>31.391999999999999</v>
      </c>
      <c r="P202">
        <v>1848014</v>
      </c>
      <c r="Q202">
        <v>1119319</v>
      </c>
      <c r="R202">
        <v>728695</v>
      </c>
      <c r="S202">
        <v>17.216000000000001</v>
      </c>
      <c r="T202">
        <v>28.423999999999999</v>
      </c>
      <c r="U202">
        <v>192950</v>
      </c>
      <c r="V202">
        <v>2.968</v>
      </c>
      <c r="W202">
        <v>56.848999999999997</v>
      </c>
      <c r="X202">
        <v>352259</v>
      </c>
      <c r="Y202">
        <v>353656</v>
      </c>
      <c r="Z202">
        <v>901660</v>
      </c>
    </row>
    <row r="203" spans="1:26" x14ac:dyDescent="0.25">
      <c r="A203">
        <v>1998</v>
      </c>
      <c r="B203" t="s">
        <v>55</v>
      </c>
      <c r="C203">
        <v>938045</v>
      </c>
      <c r="D203">
        <v>951854</v>
      </c>
      <c r="E203">
        <v>6681908</v>
      </c>
      <c r="F203">
        <v>6618788</v>
      </c>
      <c r="G203">
        <v>36062</v>
      </c>
      <c r="H203">
        <v>3.7890000000000001</v>
      </c>
      <c r="I203">
        <v>36045</v>
      </c>
      <c r="J203">
        <v>3.7869999999999999</v>
      </c>
      <c r="K203">
        <v>1330391</v>
      </c>
      <c r="L203">
        <v>460233</v>
      </c>
      <c r="M203">
        <v>870158</v>
      </c>
      <c r="N203">
        <v>6.9530000000000003</v>
      </c>
      <c r="O203">
        <v>20.100000000000001</v>
      </c>
      <c r="P203">
        <v>1203568</v>
      </c>
      <c r="Q203">
        <v>438514</v>
      </c>
      <c r="R203">
        <v>765054</v>
      </c>
      <c r="S203">
        <v>6.625</v>
      </c>
      <c r="T203">
        <v>18.184000000000001</v>
      </c>
      <c r="U203">
        <v>126823</v>
      </c>
      <c r="V203">
        <v>1.9159999999999999</v>
      </c>
      <c r="W203">
        <v>36.368000000000002</v>
      </c>
      <c r="X203">
        <v>27341</v>
      </c>
      <c r="Y203">
        <v>29045</v>
      </c>
      <c r="Z203">
        <v>364930</v>
      </c>
    </row>
    <row r="204" spans="1:26" x14ac:dyDescent="0.25">
      <c r="A204">
        <v>1998</v>
      </c>
      <c r="B204" t="s">
        <v>56</v>
      </c>
      <c r="C204">
        <v>559762</v>
      </c>
      <c r="D204">
        <v>600066</v>
      </c>
      <c r="E204">
        <v>7971129</v>
      </c>
      <c r="F204">
        <v>7879717</v>
      </c>
      <c r="G204">
        <v>17795</v>
      </c>
      <c r="H204">
        <v>2.96</v>
      </c>
      <c r="I204">
        <v>20088</v>
      </c>
      <c r="J204">
        <v>3.3410000000000002</v>
      </c>
      <c r="K204">
        <v>1425651</v>
      </c>
      <c r="L204">
        <v>417988</v>
      </c>
      <c r="M204">
        <v>1007663</v>
      </c>
      <c r="N204">
        <v>5.3049999999999997</v>
      </c>
      <c r="O204">
        <v>18.093</v>
      </c>
      <c r="P204">
        <v>1241563</v>
      </c>
      <c r="Q204">
        <v>417296</v>
      </c>
      <c r="R204">
        <v>824267</v>
      </c>
      <c r="S204">
        <v>5.2960000000000003</v>
      </c>
      <c r="T204">
        <v>15.756</v>
      </c>
      <c r="U204">
        <v>184088</v>
      </c>
      <c r="V204">
        <v>2.3359999999999999</v>
      </c>
      <c r="W204">
        <v>31.513000000000002</v>
      </c>
      <c r="X204">
        <v>12739</v>
      </c>
      <c r="Y204">
        <v>14734</v>
      </c>
      <c r="Z204">
        <v>345219</v>
      </c>
    </row>
    <row r="205" spans="1:26" x14ac:dyDescent="0.25">
      <c r="A205">
        <v>1998</v>
      </c>
      <c r="B205" t="s">
        <v>57</v>
      </c>
      <c r="C205">
        <v>467545</v>
      </c>
      <c r="D205">
        <v>648098</v>
      </c>
      <c r="E205">
        <v>19179313</v>
      </c>
      <c r="F205">
        <v>18886551</v>
      </c>
      <c r="G205">
        <v>21935</v>
      </c>
      <c r="H205">
        <v>3.3769999999999998</v>
      </c>
      <c r="I205">
        <v>24873</v>
      </c>
      <c r="J205">
        <v>3.8290000000000002</v>
      </c>
      <c r="K205">
        <v>3118670</v>
      </c>
      <c r="L205">
        <v>794695</v>
      </c>
      <c r="M205">
        <v>2323975</v>
      </c>
      <c r="N205">
        <v>4.2080000000000002</v>
      </c>
      <c r="O205">
        <v>16.513000000000002</v>
      </c>
      <c r="P205">
        <v>2533301</v>
      </c>
      <c r="Q205">
        <v>734407</v>
      </c>
      <c r="R205">
        <v>1798894</v>
      </c>
      <c r="S205">
        <v>3.8889999999999998</v>
      </c>
      <c r="T205">
        <v>13.413</v>
      </c>
      <c r="U205">
        <v>585369</v>
      </c>
      <c r="V205">
        <v>3.0990000000000002</v>
      </c>
      <c r="W205">
        <v>26.827000000000002</v>
      </c>
      <c r="X205">
        <v>7407</v>
      </c>
      <c r="Y205">
        <v>11513</v>
      </c>
      <c r="Z205">
        <v>545794</v>
      </c>
    </row>
    <row r="206" spans="1:26" x14ac:dyDescent="0.25">
      <c r="A206">
        <v>1998</v>
      </c>
      <c r="B206" t="s">
        <v>58</v>
      </c>
      <c r="C206">
        <v>77209</v>
      </c>
      <c r="D206">
        <v>298497</v>
      </c>
      <c r="E206">
        <v>15135212</v>
      </c>
      <c r="F206">
        <v>14836075</v>
      </c>
      <c r="G206">
        <v>21898</v>
      </c>
      <c r="H206">
        <v>7.3879999999999999</v>
      </c>
      <c r="I206">
        <v>17671</v>
      </c>
      <c r="J206">
        <v>5.9619999999999997</v>
      </c>
      <c r="K206">
        <v>2475547</v>
      </c>
      <c r="L206">
        <v>650999</v>
      </c>
      <c r="M206">
        <v>1824548</v>
      </c>
      <c r="N206">
        <v>4.3879999999999999</v>
      </c>
      <c r="O206">
        <v>16.686</v>
      </c>
      <c r="P206">
        <v>1880948</v>
      </c>
      <c r="Q206">
        <v>504692</v>
      </c>
      <c r="R206">
        <v>1376256</v>
      </c>
      <c r="S206">
        <v>3.4020000000000001</v>
      </c>
      <c r="T206">
        <v>12.678000000000001</v>
      </c>
      <c r="U206">
        <v>594599</v>
      </c>
      <c r="V206">
        <v>4.008</v>
      </c>
      <c r="W206">
        <v>25.356000000000002</v>
      </c>
      <c r="X206">
        <v>700</v>
      </c>
      <c r="Y206">
        <v>3867</v>
      </c>
      <c r="Z206">
        <v>252665</v>
      </c>
    </row>
    <row r="207" spans="1:26" x14ac:dyDescent="0.25">
      <c r="A207">
        <v>1998</v>
      </c>
      <c r="B207" t="s">
        <v>59</v>
      </c>
      <c r="C207">
        <v>8873</v>
      </c>
      <c r="D207">
        <v>95590</v>
      </c>
      <c r="E207">
        <v>5424615</v>
      </c>
      <c r="F207">
        <v>5316403</v>
      </c>
      <c r="G207">
        <v>9959</v>
      </c>
      <c r="H207">
        <v>10.61</v>
      </c>
      <c r="I207">
        <v>6500</v>
      </c>
      <c r="J207">
        <v>6.9249999999999998</v>
      </c>
      <c r="K207">
        <v>874746</v>
      </c>
      <c r="L207">
        <v>252941</v>
      </c>
      <c r="M207">
        <v>621805</v>
      </c>
      <c r="N207">
        <v>4.758</v>
      </c>
      <c r="O207">
        <v>16.454000000000001</v>
      </c>
      <c r="P207">
        <v>656166</v>
      </c>
      <c r="Q207">
        <v>186313</v>
      </c>
      <c r="R207">
        <v>469853</v>
      </c>
      <c r="S207">
        <v>3.504</v>
      </c>
      <c r="T207">
        <v>12.342000000000001</v>
      </c>
      <c r="U207">
        <v>218580</v>
      </c>
      <c r="V207">
        <v>4.1109999999999998</v>
      </c>
      <c r="W207">
        <v>24.684999999999999</v>
      </c>
      <c r="X207">
        <v>37</v>
      </c>
      <c r="Y207">
        <v>312</v>
      </c>
      <c r="Z207">
        <v>49104</v>
      </c>
    </row>
    <row r="208" spans="1:26" x14ac:dyDescent="0.25">
      <c r="A208">
        <v>1998</v>
      </c>
      <c r="B208" t="s">
        <v>60</v>
      </c>
      <c r="C208">
        <v>5643</v>
      </c>
      <c r="D208">
        <v>122639</v>
      </c>
      <c r="E208">
        <v>7371977</v>
      </c>
      <c r="F208">
        <v>7210780</v>
      </c>
      <c r="G208">
        <v>14207</v>
      </c>
      <c r="H208">
        <v>11.909000000000001</v>
      </c>
      <c r="I208">
        <v>7521</v>
      </c>
      <c r="J208">
        <v>6.3040000000000003</v>
      </c>
      <c r="K208">
        <v>1098535</v>
      </c>
      <c r="L208">
        <v>360536</v>
      </c>
      <c r="M208">
        <v>737999</v>
      </c>
      <c r="N208">
        <v>5</v>
      </c>
      <c r="O208">
        <v>15.234999999999999</v>
      </c>
      <c r="P208">
        <v>773381</v>
      </c>
      <c r="Q208">
        <v>205570</v>
      </c>
      <c r="R208">
        <v>567811</v>
      </c>
      <c r="S208">
        <v>2.851</v>
      </c>
      <c r="T208">
        <v>10.725</v>
      </c>
      <c r="U208">
        <v>325154</v>
      </c>
      <c r="V208">
        <v>4.5090000000000003</v>
      </c>
      <c r="W208">
        <v>21.451000000000001</v>
      </c>
      <c r="X208">
        <v>6</v>
      </c>
      <c r="Y208">
        <v>102</v>
      </c>
      <c r="Z208">
        <v>14141</v>
      </c>
    </row>
    <row r="209" spans="1:26" x14ac:dyDescent="0.25">
      <c r="A209">
        <v>1998</v>
      </c>
      <c r="B209" t="s">
        <v>61</v>
      </c>
      <c r="C209">
        <v>2309</v>
      </c>
      <c r="D209">
        <v>94142</v>
      </c>
      <c r="E209">
        <v>5782277</v>
      </c>
      <c r="F209">
        <v>5645846</v>
      </c>
      <c r="G209">
        <v>10586</v>
      </c>
      <c r="H209">
        <v>11.503</v>
      </c>
      <c r="I209">
        <v>6359</v>
      </c>
      <c r="J209">
        <v>6.91</v>
      </c>
      <c r="K209">
        <v>840879</v>
      </c>
      <c r="L209">
        <v>281426</v>
      </c>
      <c r="M209">
        <v>559453</v>
      </c>
      <c r="N209">
        <v>4.9850000000000003</v>
      </c>
      <c r="O209">
        <v>14.894</v>
      </c>
      <c r="P209">
        <v>565715</v>
      </c>
      <c r="Q209">
        <v>160175</v>
      </c>
      <c r="R209">
        <v>405540</v>
      </c>
      <c r="S209">
        <v>2.8370000000000002</v>
      </c>
      <c r="T209">
        <v>10.02</v>
      </c>
      <c r="U209">
        <v>275164</v>
      </c>
      <c r="V209">
        <v>4.8739999999999997</v>
      </c>
      <c r="W209">
        <v>20.04</v>
      </c>
      <c r="X209">
        <v>0</v>
      </c>
      <c r="Y209">
        <v>0</v>
      </c>
      <c r="Z209">
        <v>0</v>
      </c>
    </row>
    <row r="210" spans="1:26" x14ac:dyDescent="0.25">
      <c r="A210">
        <v>1998</v>
      </c>
      <c r="B210" t="s">
        <v>63</v>
      </c>
      <c r="C210">
        <v>1371</v>
      </c>
      <c r="D210">
        <v>114730</v>
      </c>
      <c r="E210">
        <v>6100570</v>
      </c>
      <c r="F210">
        <v>5939652</v>
      </c>
      <c r="G210">
        <v>13892</v>
      </c>
      <c r="H210">
        <v>12.378</v>
      </c>
      <c r="I210">
        <v>8896</v>
      </c>
      <c r="J210">
        <v>7.9260000000000002</v>
      </c>
      <c r="K210">
        <v>985342</v>
      </c>
      <c r="L210">
        <v>317130</v>
      </c>
      <c r="M210">
        <v>668212</v>
      </c>
      <c r="N210">
        <v>5.3390000000000004</v>
      </c>
      <c r="O210">
        <v>16.588999999999999</v>
      </c>
      <c r="P210">
        <v>662153</v>
      </c>
      <c r="Q210">
        <v>183968</v>
      </c>
      <c r="R210">
        <v>478185</v>
      </c>
      <c r="S210">
        <v>3.097</v>
      </c>
      <c r="T210">
        <v>11.148</v>
      </c>
      <c r="U210">
        <v>323189</v>
      </c>
      <c r="V210">
        <v>5.4409999999999998</v>
      </c>
      <c r="W210">
        <v>22.295999999999999</v>
      </c>
      <c r="X210">
        <v>0</v>
      </c>
      <c r="Y210">
        <v>0</v>
      </c>
      <c r="Z210">
        <v>0</v>
      </c>
    </row>
    <row r="211" spans="1:26" x14ac:dyDescent="0.25">
      <c r="A211">
        <v>1998</v>
      </c>
      <c r="B211" t="s">
        <v>64</v>
      </c>
      <c r="C211">
        <v>1225</v>
      </c>
      <c r="D211">
        <v>457399</v>
      </c>
      <c r="E211">
        <v>27446271</v>
      </c>
      <c r="F211">
        <v>27194550</v>
      </c>
      <c r="G211">
        <v>48651</v>
      </c>
      <c r="H211">
        <v>10.785</v>
      </c>
      <c r="I211">
        <v>36021</v>
      </c>
      <c r="J211">
        <v>7.9850000000000003</v>
      </c>
      <c r="K211">
        <v>3781116</v>
      </c>
      <c r="L211">
        <v>1305838</v>
      </c>
      <c r="M211">
        <v>2475278</v>
      </c>
      <c r="N211">
        <v>4.8019999999999996</v>
      </c>
      <c r="O211">
        <v>13.904</v>
      </c>
      <c r="P211">
        <v>3258734</v>
      </c>
      <c r="Q211">
        <v>1001409</v>
      </c>
      <c r="R211">
        <v>2257325</v>
      </c>
      <c r="S211">
        <v>3.6819999999999999</v>
      </c>
      <c r="T211">
        <v>11.983000000000001</v>
      </c>
      <c r="U211">
        <v>522382</v>
      </c>
      <c r="V211">
        <v>1.921</v>
      </c>
      <c r="W211">
        <v>23.966000000000001</v>
      </c>
      <c r="X211">
        <v>0</v>
      </c>
      <c r="Y211">
        <v>0</v>
      </c>
      <c r="Z211">
        <v>0</v>
      </c>
    </row>
    <row r="212" spans="1:26" x14ac:dyDescent="0.25">
      <c r="A212">
        <v>1999</v>
      </c>
      <c r="B212" t="s">
        <v>54</v>
      </c>
      <c r="C212">
        <v>2809675</v>
      </c>
      <c r="D212">
        <v>2813467</v>
      </c>
      <c r="E212">
        <v>6564019</v>
      </c>
      <c r="F212">
        <v>6500741</v>
      </c>
      <c r="G212">
        <v>494889</v>
      </c>
      <c r="H212">
        <v>17.716000000000001</v>
      </c>
      <c r="I212">
        <v>454932</v>
      </c>
      <c r="J212">
        <v>16.285</v>
      </c>
      <c r="K212">
        <v>1995359</v>
      </c>
      <c r="L212">
        <v>1236501</v>
      </c>
      <c r="M212">
        <v>758858</v>
      </c>
      <c r="N212">
        <v>19.021000000000001</v>
      </c>
      <c r="O212">
        <v>30.693999999999999</v>
      </c>
      <c r="P212">
        <v>1866780</v>
      </c>
      <c r="Q212">
        <v>1136756</v>
      </c>
      <c r="R212">
        <v>730024</v>
      </c>
      <c r="S212">
        <v>17.486999999999998</v>
      </c>
      <c r="T212">
        <v>28.716000000000001</v>
      </c>
      <c r="U212">
        <v>128579</v>
      </c>
      <c r="V212">
        <v>1.978</v>
      </c>
      <c r="W212">
        <v>57.433</v>
      </c>
      <c r="X212">
        <v>356379</v>
      </c>
      <c r="Y212">
        <v>357783</v>
      </c>
      <c r="Z212">
        <v>910528</v>
      </c>
    </row>
    <row r="213" spans="1:26" x14ac:dyDescent="0.25">
      <c r="A213">
        <v>1999</v>
      </c>
      <c r="B213" t="s">
        <v>55</v>
      </c>
      <c r="C213">
        <v>942268</v>
      </c>
      <c r="D213">
        <v>956202</v>
      </c>
      <c r="E213">
        <v>6674258</v>
      </c>
      <c r="F213">
        <v>6631466</v>
      </c>
      <c r="G213">
        <v>33105</v>
      </c>
      <c r="H213">
        <v>3.4550000000000001</v>
      </c>
      <c r="I213">
        <v>37086</v>
      </c>
      <c r="J213">
        <v>3.87</v>
      </c>
      <c r="K213">
        <v>1292954</v>
      </c>
      <c r="L213">
        <v>423216</v>
      </c>
      <c r="M213">
        <v>869738</v>
      </c>
      <c r="N213">
        <v>6.3819999999999997</v>
      </c>
      <c r="O213">
        <v>19.497</v>
      </c>
      <c r="P213">
        <v>1208027</v>
      </c>
      <c r="Q213">
        <v>460705</v>
      </c>
      <c r="R213">
        <v>747322</v>
      </c>
      <c r="S213">
        <v>6.9470000000000001</v>
      </c>
      <c r="T213">
        <v>18.216999999999999</v>
      </c>
      <c r="U213">
        <v>84927</v>
      </c>
      <c r="V213">
        <v>1.2809999999999999</v>
      </c>
      <c r="W213">
        <v>36.433</v>
      </c>
      <c r="X213">
        <v>28819</v>
      </c>
      <c r="Y213">
        <v>30684</v>
      </c>
      <c r="Z213">
        <v>383920</v>
      </c>
    </row>
    <row r="214" spans="1:26" x14ac:dyDescent="0.25">
      <c r="A214">
        <v>1999</v>
      </c>
      <c r="B214" t="s">
        <v>56</v>
      </c>
      <c r="C214">
        <v>566154</v>
      </c>
      <c r="D214">
        <v>604101</v>
      </c>
      <c r="E214">
        <v>8022184</v>
      </c>
      <c r="F214">
        <v>7954954</v>
      </c>
      <c r="G214">
        <v>16168</v>
      </c>
      <c r="H214">
        <v>2.6669999999999998</v>
      </c>
      <c r="I214">
        <v>20258</v>
      </c>
      <c r="J214">
        <v>3.3420000000000001</v>
      </c>
      <c r="K214">
        <v>1373799</v>
      </c>
      <c r="L214">
        <v>371194</v>
      </c>
      <c r="M214">
        <v>1002605</v>
      </c>
      <c r="N214">
        <v>4.6660000000000004</v>
      </c>
      <c r="O214">
        <v>17.27</v>
      </c>
      <c r="P214">
        <v>1238844</v>
      </c>
      <c r="Q214">
        <v>444463</v>
      </c>
      <c r="R214">
        <v>794381</v>
      </c>
      <c r="S214">
        <v>5.5869999999999997</v>
      </c>
      <c r="T214">
        <v>15.573</v>
      </c>
      <c r="U214">
        <v>134955</v>
      </c>
      <c r="V214">
        <v>1.696</v>
      </c>
      <c r="W214">
        <v>31.146000000000001</v>
      </c>
      <c r="X214">
        <v>13704</v>
      </c>
      <c r="Y214">
        <v>16189</v>
      </c>
      <c r="Z214">
        <v>370251</v>
      </c>
    </row>
    <row r="215" spans="1:26" x14ac:dyDescent="0.25">
      <c r="A215">
        <v>1999</v>
      </c>
      <c r="B215" t="s">
        <v>57</v>
      </c>
      <c r="C215">
        <v>476290</v>
      </c>
      <c r="D215">
        <v>650294</v>
      </c>
      <c r="E215">
        <v>19364433</v>
      </c>
      <c r="F215">
        <v>19151002</v>
      </c>
      <c r="G215">
        <v>21927</v>
      </c>
      <c r="H215">
        <v>3.3690000000000002</v>
      </c>
      <c r="I215">
        <v>22952</v>
      </c>
      <c r="J215">
        <v>3.5270000000000001</v>
      </c>
      <c r="K215">
        <v>2900866</v>
      </c>
      <c r="L215">
        <v>693949</v>
      </c>
      <c r="M215">
        <v>2206917</v>
      </c>
      <c r="N215">
        <v>3.6240000000000001</v>
      </c>
      <c r="O215">
        <v>15.147</v>
      </c>
      <c r="P215">
        <v>2472904</v>
      </c>
      <c r="Q215">
        <v>821236</v>
      </c>
      <c r="R215">
        <v>1651668</v>
      </c>
      <c r="S215">
        <v>4.2880000000000003</v>
      </c>
      <c r="T215">
        <v>12.913</v>
      </c>
      <c r="U215">
        <v>427962</v>
      </c>
      <c r="V215">
        <v>2.2349999999999999</v>
      </c>
      <c r="W215">
        <v>25.824999999999999</v>
      </c>
      <c r="X215">
        <v>8907</v>
      </c>
      <c r="Y215">
        <v>14923</v>
      </c>
      <c r="Z215">
        <v>667964</v>
      </c>
    </row>
    <row r="216" spans="1:26" x14ac:dyDescent="0.25">
      <c r="A216">
        <v>1999</v>
      </c>
      <c r="B216" t="s">
        <v>58</v>
      </c>
      <c r="C216">
        <v>79162</v>
      </c>
      <c r="D216">
        <v>302923</v>
      </c>
      <c r="E216">
        <v>15381071</v>
      </c>
      <c r="F216">
        <v>15148863</v>
      </c>
      <c r="G216">
        <v>24133</v>
      </c>
      <c r="H216">
        <v>8.0820000000000007</v>
      </c>
      <c r="I216">
        <v>15482</v>
      </c>
      <c r="J216">
        <v>5.1849999999999996</v>
      </c>
      <c r="K216">
        <v>2330524</v>
      </c>
      <c r="L216">
        <v>658292</v>
      </c>
      <c r="M216">
        <v>1672232</v>
      </c>
      <c r="N216">
        <v>4.3449999999999998</v>
      </c>
      <c r="O216">
        <v>15.384</v>
      </c>
      <c r="P216">
        <v>1866810</v>
      </c>
      <c r="Q216">
        <v>529706</v>
      </c>
      <c r="R216">
        <v>1337104</v>
      </c>
      <c r="S216">
        <v>3.4969999999999999</v>
      </c>
      <c r="T216">
        <v>12.323</v>
      </c>
      <c r="U216">
        <v>463714</v>
      </c>
      <c r="V216">
        <v>3.0609999999999999</v>
      </c>
      <c r="W216">
        <v>24.646000000000001</v>
      </c>
      <c r="X216">
        <v>808</v>
      </c>
      <c r="Y216">
        <v>3454</v>
      </c>
      <c r="Z216">
        <v>279809</v>
      </c>
    </row>
    <row r="217" spans="1:26" x14ac:dyDescent="0.25">
      <c r="A217">
        <v>1999</v>
      </c>
      <c r="B217" t="s">
        <v>59</v>
      </c>
      <c r="C217">
        <v>8941</v>
      </c>
      <c r="D217">
        <v>96625</v>
      </c>
      <c r="E217">
        <v>5480597</v>
      </c>
      <c r="F217">
        <v>5416179</v>
      </c>
      <c r="G217">
        <v>10694</v>
      </c>
      <c r="H217">
        <v>11.291</v>
      </c>
      <c r="I217">
        <v>6863</v>
      </c>
      <c r="J217">
        <v>7.2460000000000004</v>
      </c>
      <c r="K217">
        <v>841172</v>
      </c>
      <c r="L217">
        <v>270898</v>
      </c>
      <c r="M217">
        <v>570274</v>
      </c>
      <c r="N217">
        <v>5.0019999999999998</v>
      </c>
      <c r="O217">
        <v>15.531000000000001</v>
      </c>
      <c r="P217">
        <v>710952</v>
      </c>
      <c r="Q217">
        <v>200952</v>
      </c>
      <c r="R217">
        <v>510000</v>
      </c>
      <c r="S217">
        <v>3.71</v>
      </c>
      <c r="T217">
        <v>13.125999999999999</v>
      </c>
      <c r="U217">
        <v>130220</v>
      </c>
      <c r="V217">
        <v>2.4039999999999999</v>
      </c>
      <c r="W217">
        <v>26.253</v>
      </c>
      <c r="X217">
        <v>43</v>
      </c>
      <c r="Y217">
        <v>596</v>
      </c>
      <c r="Z217">
        <v>54838</v>
      </c>
    </row>
    <row r="218" spans="1:26" x14ac:dyDescent="0.25">
      <c r="A218">
        <v>1999</v>
      </c>
      <c r="B218" t="s">
        <v>60</v>
      </c>
      <c r="C218">
        <v>5674</v>
      </c>
      <c r="D218">
        <v>122095</v>
      </c>
      <c r="E218">
        <v>7544764</v>
      </c>
      <c r="F218">
        <v>7437690</v>
      </c>
      <c r="G218">
        <v>12439</v>
      </c>
      <c r="H218">
        <v>10.345000000000001</v>
      </c>
      <c r="I218">
        <v>8725</v>
      </c>
      <c r="J218">
        <v>7.2560000000000002</v>
      </c>
      <c r="K218">
        <v>1079304</v>
      </c>
      <c r="L218">
        <v>358580</v>
      </c>
      <c r="M218">
        <v>720724</v>
      </c>
      <c r="N218">
        <v>4.8209999999999997</v>
      </c>
      <c r="O218">
        <v>14.510999999999999</v>
      </c>
      <c r="P218">
        <v>858980</v>
      </c>
      <c r="Q218">
        <v>251305</v>
      </c>
      <c r="R218">
        <v>607675</v>
      </c>
      <c r="S218">
        <v>3.379</v>
      </c>
      <c r="T218">
        <v>11.548999999999999</v>
      </c>
      <c r="U218">
        <v>220324</v>
      </c>
      <c r="V218">
        <v>2.9620000000000002</v>
      </c>
      <c r="W218">
        <v>23.097999999999999</v>
      </c>
      <c r="X218">
        <v>19</v>
      </c>
      <c r="Y218">
        <v>352</v>
      </c>
      <c r="Z218">
        <v>52367</v>
      </c>
    </row>
    <row r="219" spans="1:26" x14ac:dyDescent="0.25">
      <c r="A219">
        <v>1999</v>
      </c>
      <c r="B219" t="s">
        <v>61</v>
      </c>
      <c r="C219">
        <v>2336</v>
      </c>
      <c r="D219">
        <v>104867</v>
      </c>
      <c r="E219">
        <v>5845549</v>
      </c>
      <c r="F219">
        <v>5752155</v>
      </c>
      <c r="G219">
        <v>13871</v>
      </c>
      <c r="H219">
        <v>13.718</v>
      </c>
      <c r="I219">
        <v>6371</v>
      </c>
      <c r="J219">
        <v>6.3010000000000002</v>
      </c>
      <c r="K219">
        <v>862070</v>
      </c>
      <c r="L219">
        <v>328017</v>
      </c>
      <c r="M219">
        <v>534053</v>
      </c>
      <c r="N219">
        <v>5.7030000000000003</v>
      </c>
      <c r="O219">
        <v>14.987</v>
      </c>
      <c r="P219">
        <v>674961</v>
      </c>
      <c r="Q219">
        <v>187877</v>
      </c>
      <c r="R219">
        <v>487084</v>
      </c>
      <c r="S219">
        <v>3.266</v>
      </c>
      <c r="T219">
        <v>11.734</v>
      </c>
      <c r="U219">
        <v>187109</v>
      </c>
      <c r="V219">
        <v>3.2530000000000001</v>
      </c>
      <c r="W219">
        <v>23.468</v>
      </c>
      <c r="X219" t="s">
        <v>62</v>
      </c>
      <c r="Y219" t="s">
        <v>62</v>
      </c>
      <c r="Z219" t="s">
        <v>62</v>
      </c>
    </row>
    <row r="220" spans="1:26" x14ac:dyDescent="0.25">
      <c r="A220">
        <v>1999</v>
      </c>
      <c r="B220" t="s">
        <v>63</v>
      </c>
      <c r="C220">
        <v>1371</v>
      </c>
      <c r="D220">
        <v>116954</v>
      </c>
      <c r="E220">
        <v>6253875</v>
      </c>
      <c r="F220">
        <v>6143874</v>
      </c>
      <c r="G220">
        <v>16236</v>
      </c>
      <c r="H220">
        <v>14.295999999999999</v>
      </c>
      <c r="I220">
        <v>9464</v>
      </c>
      <c r="J220">
        <v>8.3330000000000002</v>
      </c>
      <c r="K220">
        <v>1036334</v>
      </c>
      <c r="L220">
        <v>445252</v>
      </c>
      <c r="M220">
        <v>591082</v>
      </c>
      <c r="N220">
        <v>7.2469999999999999</v>
      </c>
      <c r="O220">
        <v>16.867999999999999</v>
      </c>
      <c r="P220">
        <v>813338</v>
      </c>
      <c r="Q220">
        <v>219571</v>
      </c>
      <c r="R220">
        <v>593767</v>
      </c>
      <c r="S220">
        <v>3.5739999999999998</v>
      </c>
      <c r="T220">
        <v>13.238</v>
      </c>
      <c r="U220">
        <v>222996</v>
      </c>
      <c r="V220">
        <v>3.63</v>
      </c>
      <c r="W220">
        <v>26.475999999999999</v>
      </c>
      <c r="X220">
        <v>0</v>
      </c>
      <c r="Y220">
        <v>0</v>
      </c>
      <c r="Z220">
        <v>0</v>
      </c>
    </row>
    <row r="221" spans="1:26" x14ac:dyDescent="0.25">
      <c r="A221">
        <v>1999</v>
      </c>
      <c r="B221" t="s">
        <v>64</v>
      </c>
      <c r="C221">
        <v>1225</v>
      </c>
      <c r="D221">
        <v>478865</v>
      </c>
      <c r="E221">
        <v>28681590</v>
      </c>
      <c r="F221">
        <v>28687677</v>
      </c>
      <c r="G221">
        <v>47646</v>
      </c>
      <c r="H221">
        <v>9.91</v>
      </c>
      <c r="I221">
        <v>51537</v>
      </c>
      <c r="J221">
        <v>10.718999999999999</v>
      </c>
      <c r="K221">
        <v>3964102</v>
      </c>
      <c r="L221">
        <v>1313453</v>
      </c>
      <c r="M221">
        <v>2650649</v>
      </c>
      <c r="N221">
        <v>4.5780000000000003</v>
      </c>
      <c r="O221">
        <v>13.818</v>
      </c>
      <c r="P221">
        <v>3986314</v>
      </c>
      <c r="Q221">
        <v>1385965</v>
      </c>
      <c r="R221">
        <v>2600349</v>
      </c>
      <c r="S221">
        <v>4.8310000000000004</v>
      </c>
      <c r="T221">
        <v>13.896000000000001</v>
      </c>
      <c r="U221">
        <v>-22212</v>
      </c>
      <c r="V221">
        <v>-7.6999999999999999E-2</v>
      </c>
      <c r="W221">
        <v>27.635999999999999</v>
      </c>
      <c r="X221">
        <v>0</v>
      </c>
      <c r="Y221">
        <v>0</v>
      </c>
      <c r="Z221">
        <v>0</v>
      </c>
    </row>
    <row r="222" spans="1:26" x14ac:dyDescent="0.25">
      <c r="A222">
        <v>2000</v>
      </c>
      <c r="B222" t="s">
        <v>54</v>
      </c>
      <c r="C222">
        <v>2800921</v>
      </c>
      <c r="D222">
        <v>2805269</v>
      </c>
      <c r="E222">
        <v>6578741</v>
      </c>
      <c r="F222">
        <v>6498434</v>
      </c>
      <c r="G222">
        <v>482046</v>
      </c>
      <c r="H222">
        <v>17.251999999999999</v>
      </c>
      <c r="I222">
        <v>459887</v>
      </c>
      <c r="J222">
        <v>16.459</v>
      </c>
      <c r="K222">
        <v>2001119</v>
      </c>
      <c r="L222">
        <v>1231837</v>
      </c>
      <c r="M222">
        <v>769282</v>
      </c>
      <c r="N222">
        <v>18.956</v>
      </c>
      <c r="O222">
        <v>30.794</v>
      </c>
      <c r="P222">
        <v>1837249</v>
      </c>
      <c r="Q222">
        <v>1142192</v>
      </c>
      <c r="R222">
        <v>695057</v>
      </c>
      <c r="S222">
        <v>17.576000000000001</v>
      </c>
      <c r="T222">
        <v>28.271999999999998</v>
      </c>
      <c r="U222">
        <v>163870</v>
      </c>
      <c r="V222">
        <v>2.5219999999999998</v>
      </c>
      <c r="W222">
        <v>56.543999999999997</v>
      </c>
      <c r="X222">
        <v>355213</v>
      </c>
      <c r="Y222">
        <v>356917</v>
      </c>
      <c r="Z222">
        <v>901339</v>
      </c>
    </row>
    <row r="223" spans="1:26" x14ac:dyDescent="0.25">
      <c r="A223">
        <v>2000</v>
      </c>
      <c r="B223" t="s">
        <v>55</v>
      </c>
      <c r="C223">
        <v>946961</v>
      </c>
      <c r="D223">
        <v>961042</v>
      </c>
      <c r="E223">
        <v>6750011</v>
      </c>
      <c r="F223">
        <v>6664619</v>
      </c>
      <c r="G223">
        <v>35234</v>
      </c>
      <c r="H223">
        <v>3.6640000000000001</v>
      </c>
      <c r="I223">
        <v>36605</v>
      </c>
      <c r="J223">
        <v>3.806</v>
      </c>
      <c r="K223">
        <v>1347985</v>
      </c>
      <c r="L223">
        <v>449986</v>
      </c>
      <c r="M223">
        <v>897999</v>
      </c>
      <c r="N223">
        <v>6.7519999999999998</v>
      </c>
      <c r="O223">
        <v>20.225999999999999</v>
      </c>
      <c r="P223">
        <v>1177449</v>
      </c>
      <c r="Q223">
        <v>452588</v>
      </c>
      <c r="R223">
        <v>724861</v>
      </c>
      <c r="S223">
        <v>6.7910000000000004</v>
      </c>
      <c r="T223">
        <v>17.667000000000002</v>
      </c>
      <c r="U223">
        <v>170536</v>
      </c>
      <c r="V223">
        <v>2.5590000000000002</v>
      </c>
      <c r="W223">
        <v>35.334000000000003</v>
      </c>
      <c r="X223">
        <v>27883</v>
      </c>
      <c r="Y223">
        <v>29755</v>
      </c>
      <c r="Z223">
        <v>371893</v>
      </c>
    </row>
    <row r="224" spans="1:26" x14ac:dyDescent="0.25">
      <c r="A224">
        <v>2000</v>
      </c>
      <c r="B224" t="s">
        <v>56</v>
      </c>
      <c r="C224">
        <v>575757</v>
      </c>
      <c r="D224">
        <v>612175</v>
      </c>
      <c r="E224">
        <v>8209667</v>
      </c>
      <c r="F224">
        <v>8131712</v>
      </c>
      <c r="G224">
        <v>17460</v>
      </c>
      <c r="H224">
        <v>2.847</v>
      </c>
      <c r="I224">
        <v>19563</v>
      </c>
      <c r="J224">
        <v>3.19</v>
      </c>
      <c r="K224">
        <v>1452320</v>
      </c>
      <c r="L224">
        <v>401356</v>
      </c>
      <c r="M224">
        <v>1050964</v>
      </c>
      <c r="N224">
        <v>4.9359999999999999</v>
      </c>
      <c r="O224">
        <v>17.86</v>
      </c>
      <c r="P224">
        <v>1295516</v>
      </c>
      <c r="Q224">
        <v>428011</v>
      </c>
      <c r="R224">
        <v>867505</v>
      </c>
      <c r="S224">
        <v>5.2629999999999999</v>
      </c>
      <c r="T224">
        <v>15.932</v>
      </c>
      <c r="U224">
        <v>156804</v>
      </c>
      <c r="V224">
        <v>1.9279999999999999</v>
      </c>
      <c r="W224">
        <v>31.863</v>
      </c>
      <c r="X224">
        <v>13066</v>
      </c>
      <c r="Y224">
        <v>15511</v>
      </c>
      <c r="Z224">
        <v>354424</v>
      </c>
    </row>
    <row r="225" spans="1:26" x14ac:dyDescent="0.25">
      <c r="A225">
        <v>2000</v>
      </c>
      <c r="B225" t="s">
        <v>57</v>
      </c>
      <c r="C225">
        <v>487427</v>
      </c>
      <c r="D225">
        <v>654629</v>
      </c>
      <c r="E225">
        <v>19968118</v>
      </c>
      <c r="F225">
        <v>19594035</v>
      </c>
      <c r="G225">
        <v>21806</v>
      </c>
      <c r="H225">
        <v>3.3340000000000001</v>
      </c>
      <c r="I225">
        <v>20596</v>
      </c>
      <c r="J225">
        <v>3.149</v>
      </c>
      <c r="K225">
        <v>3092577</v>
      </c>
      <c r="L225">
        <v>734201</v>
      </c>
      <c r="M225">
        <v>2358376</v>
      </c>
      <c r="N225">
        <v>3.7469999999999999</v>
      </c>
      <c r="O225">
        <v>15.782999999999999</v>
      </c>
      <c r="P225">
        <v>2342910</v>
      </c>
      <c r="Q225">
        <v>745764</v>
      </c>
      <c r="R225">
        <v>1597146</v>
      </c>
      <c r="S225">
        <v>3.806</v>
      </c>
      <c r="T225">
        <v>11.957000000000001</v>
      </c>
      <c r="U225">
        <v>749667</v>
      </c>
      <c r="V225">
        <v>3.8260000000000001</v>
      </c>
      <c r="W225">
        <v>23.914999999999999</v>
      </c>
      <c r="X225">
        <v>8105</v>
      </c>
      <c r="Y225">
        <v>13416</v>
      </c>
      <c r="Z225">
        <v>595487</v>
      </c>
    </row>
    <row r="226" spans="1:26" x14ac:dyDescent="0.25">
      <c r="A226">
        <v>2000</v>
      </c>
      <c r="B226" t="s">
        <v>58</v>
      </c>
      <c r="C226">
        <v>81604</v>
      </c>
      <c r="D226">
        <v>306659</v>
      </c>
      <c r="E226">
        <v>15958300</v>
      </c>
      <c r="F226">
        <v>15574397</v>
      </c>
      <c r="G226">
        <v>22287</v>
      </c>
      <c r="H226">
        <v>7.3479999999999999</v>
      </c>
      <c r="I226">
        <v>15621</v>
      </c>
      <c r="J226">
        <v>5.15</v>
      </c>
      <c r="K226">
        <v>2513245</v>
      </c>
      <c r="L226">
        <v>638610</v>
      </c>
      <c r="M226">
        <v>1874635</v>
      </c>
      <c r="N226">
        <v>4.0999999999999996</v>
      </c>
      <c r="O226">
        <v>16.137</v>
      </c>
      <c r="P226">
        <v>1744651</v>
      </c>
      <c r="Q226">
        <v>479438</v>
      </c>
      <c r="R226">
        <v>1265213</v>
      </c>
      <c r="S226">
        <v>3.0779999999999998</v>
      </c>
      <c r="T226">
        <v>11.202</v>
      </c>
      <c r="U226">
        <v>768594</v>
      </c>
      <c r="V226">
        <v>4.9349999999999996</v>
      </c>
      <c r="W226">
        <v>22.404</v>
      </c>
      <c r="X226">
        <v>697</v>
      </c>
      <c r="Y226">
        <v>3780</v>
      </c>
      <c r="Z226">
        <v>253889</v>
      </c>
    </row>
    <row r="227" spans="1:26" x14ac:dyDescent="0.25">
      <c r="A227">
        <v>2000</v>
      </c>
      <c r="B227" t="s">
        <v>59</v>
      </c>
      <c r="C227">
        <v>9301</v>
      </c>
      <c r="D227">
        <v>99225</v>
      </c>
      <c r="E227">
        <v>5737935</v>
      </c>
      <c r="F227">
        <v>5603670</v>
      </c>
      <c r="G227">
        <v>10475</v>
      </c>
      <c r="H227">
        <v>10.78</v>
      </c>
      <c r="I227">
        <v>6358</v>
      </c>
      <c r="J227">
        <v>6.5430000000000001</v>
      </c>
      <c r="K227">
        <v>908580</v>
      </c>
      <c r="L227">
        <v>276356</v>
      </c>
      <c r="M227">
        <v>632224</v>
      </c>
      <c r="N227">
        <v>4.9320000000000004</v>
      </c>
      <c r="O227">
        <v>16.213999999999999</v>
      </c>
      <c r="P227">
        <v>636729</v>
      </c>
      <c r="Q227">
        <v>186784</v>
      </c>
      <c r="R227">
        <v>449945</v>
      </c>
      <c r="S227">
        <v>3.3330000000000002</v>
      </c>
      <c r="T227">
        <v>11.363</v>
      </c>
      <c r="U227">
        <v>271851</v>
      </c>
      <c r="V227">
        <v>4.851</v>
      </c>
      <c r="W227">
        <v>22.725000000000001</v>
      </c>
      <c r="X227">
        <v>41</v>
      </c>
      <c r="Y227">
        <v>605</v>
      </c>
      <c r="Z227">
        <v>53105</v>
      </c>
    </row>
    <row r="228" spans="1:26" x14ac:dyDescent="0.25">
      <c r="A228">
        <v>2000</v>
      </c>
      <c r="B228" t="s">
        <v>60</v>
      </c>
      <c r="C228">
        <v>5888</v>
      </c>
      <c r="D228">
        <v>127955</v>
      </c>
      <c r="E228">
        <v>7715663</v>
      </c>
      <c r="F228">
        <v>7547839</v>
      </c>
      <c r="G228">
        <v>14480</v>
      </c>
      <c r="H228">
        <v>11.599</v>
      </c>
      <c r="I228">
        <v>8246</v>
      </c>
      <c r="J228">
        <v>6.6050000000000004</v>
      </c>
      <c r="K228">
        <v>1163543</v>
      </c>
      <c r="L228">
        <v>398230</v>
      </c>
      <c r="M228">
        <v>765313</v>
      </c>
      <c r="N228">
        <v>5.2759999999999998</v>
      </c>
      <c r="O228">
        <v>15.416</v>
      </c>
      <c r="P228">
        <v>825863</v>
      </c>
      <c r="Q228">
        <v>221917</v>
      </c>
      <c r="R228">
        <v>603946</v>
      </c>
      <c r="S228">
        <v>2.94</v>
      </c>
      <c r="T228">
        <v>10.942</v>
      </c>
      <c r="U228">
        <v>337680</v>
      </c>
      <c r="V228">
        <v>4.4740000000000002</v>
      </c>
      <c r="W228">
        <v>21.882999999999999</v>
      </c>
      <c r="X228">
        <v>9</v>
      </c>
      <c r="Y228">
        <v>239</v>
      </c>
      <c r="Z228">
        <v>31201</v>
      </c>
    </row>
    <row r="229" spans="1:26" x14ac:dyDescent="0.25">
      <c r="A229">
        <v>2000</v>
      </c>
      <c r="B229" t="s">
        <v>61</v>
      </c>
      <c r="C229">
        <v>2429</v>
      </c>
      <c r="D229">
        <v>102617</v>
      </c>
      <c r="E229">
        <v>6051219</v>
      </c>
      <c r="F229">
        <v>5938449</v>
      </c>
      <c r="G229">
        <v>11383</v>
      </c>
      <c r="H229">
        <v>11.323</v>
      </c>
      <c r="I229">
        <v>7212</v>
      </c>
      <c r="J229">
        <v>7.1740000000000004</v>
      </c>
      <c r="K229">
        <v>895631</v>
      </c>
      <c r="L229">
        <v>313182</v>
      </c>
      <c r="M229">
        <v>582449</v>
      </c>
      <c r="N229">
        <v>5.274</v>
      </c>
      <c r="O229">
        <v>15.082000000000001</v>
      </c>
      <c r="P229">
        <v>668771</v>
      </c>
      <c r="Q229">
        <v>174101</v>
      </c>
      <c r="R229">
        <v>494670</v>
      </c>
      <c r="S229">
        <v>2.9319999999999999</v>
      </c>
      <c r="T229">
        <v>11.262</v>
      </c>
      <c r="U229">
        <v>226860</v>
      </c>
      <c r="V229">
        <v>3.82</v>
      </c>
      <c r="W229">
        <v>22.523</v>
      </c>
      <c r="X229" t="s">
        <v>62</v>
      </c>
      <c r="Y229" t="s">
        <v>62</v>
      </c>
      <c r="Z229" t="s">
        <v>62</v>
      </c>
    </row>
    <row r="230" spans="1:26" x14ac:dyDescent="0.25">
      <c r="A230">
        <v>2000</v>
      </c>
      <c r="B230" t="s">
        <v>63</v>
      </c>
      <c r="C230">
        <v>1484</v>
      </c>
      <c r="D230">
        <v>123747</v>
      </c>
      <c r="E230">
        <v>6316663</v>
      </c>
      <c r="F230">
        <v>6238616</v>
      </c>
      <c r="G230">
        <v>14443</v>
      </c>
      <c r="H230">
        <v>11.907999999999999</v>
      </c>
      <c r="I230">
        <v>9530</v>
      </c>
      <c r="J230">
        <v>7.8570000000000002</v>
      </c>
      <c r="K230">
        <v>981512</v>
      </c>
      <c r="L230">
        <v>317410</v>
      </c>
      <c r="M230">
        <v>664102</v>
      </c>
      <c r="N230">
        <v>5.0880000000000001</v>
      </c>
      <c r="O230">
        <v>15.733000000000001</v>
      </c>
      <c r="P230">
        <v>823078</v>
      </c>
      <c r="Q230">
        <v>237067</v>
      </c>
      <c r="R230">
        <v>586011</v>
      </c>
      <c r="S230">
        <v>3.8</v>
      </c>
      <c r="T230">
        <v>13.193</v>
      </c>
      <c r="U230">
        <v>158434</v>
      </c>
      <c r="V230">
        <v>2.54</v>
      </c>
      <c r="W230">
        <v>26.387</v>
      </c>
      <c r="X230" t="s">
        <v>62</v>
      </c>
      <c r="Y230" t="s">
        <v>62</v>
      </c>
      <c r="Z230" t="s">
        <v>62</v>
      </c>
    </row>
    <row r="231" spans="1:26" x14ac:dyDescent="0.25">
      <c r="A231">
        <v>2000</v>
      </c>
      <c r="B231" t="s">
        <v>64</v>
      </c>
      <c r="C231">
        <v>1296</v>
      </c>
      <c r="D231">
        <v>508235</v>
      </c>
      <c r="E231">
        <v>30306847</v>
      </c>
      <c r="F231">
        <v>30074795</v>
      </c>
      <c r="G231">
        <v>51181</v>
      </c>
      <c r="H231">
        <v>10.129</v>
      </c>
      <c r="I231">
        <v>45293</v>
      </c>
      <c r="J231">
        <v>8.9640000000000004</v>
      </c>
      <c r="K231">
        <v>4318923</v>
      </c>
      <c r="L231">
        <v>1403577</v>
      </c>
      <c r="M231">
        <v>2915346</v>
      </c>
      <c r="N231">
        <v>4.6669999999999998</v>
      </c>
      <c r="O231">
        <v>14.361000000000001</v>
      </c>
      <c r="P231">
        <v>3873672</v>
      </c>
      <c r="Q231">
        <v>1297076</v>
      </c>
      <c r="R231">
        <v>2576596</v>
      </c>
      <c r="S231">
        <v>4.3129999999999997</v>
      </c>
      <c r="T231">
        <v>12.88</v>
      </c>
      <c r="U231">
        <v>445251</v>
      </c>
      <c r="V231">
        <v>1.48</v>
      </c>
      <c r="W231">
        <v>25.76</v>
      </c>
      <c r="X231">
        <v>0</v>
      </c>
      <c r="Y231">
        <v>0</v>
      </c>
      <c r="Z231">
        <v>0</v>
      </c>
    </row>
    <row r="232" spans="1:26" x14ac:dyDescent="0.25">
      <c r="A232">
        <v>2001</v>
      </c>
      <c r="B232" t="s">
        <v>54</v>
      </c>
      <c r="C232">
        <v>2803678</v>
      </c>
      <c r="D232">
        <v>2809378</v>
      </c>
      <c r="E232">
        <v>6522066</v>
      </c>
      <c r="F232">
        <v>6505012</v>
      </c>
      <c r="G232">
        <v>486316</v>
      </c>
      <c r="H232">
        <v>17.378</v>
      </c>
      <c r="I232">
        <v>464421</v>
      </c>
      <c r="J232">
        <v>16.596</v>
      </c>
      <c r="K232">
        <v>1935000</v>
      </c>
      <c r="L232">
        <v>1232015</v>
      </c>
      <c r="M232">
        <v>702985</v>
      </c>
      <c r="N232">
        <v>18.939</v>
      </c>
      <c r="O232">
        <v>29.745999999999999</v>
      </c>
      <c r="P232">
        <v>1899493</v>
      </c>
      <c r="Q232">
        <v>1159161</v>
      </c>
      <c r="R232">
        <v>740332</v>
      </c>
      <c r="S232">
        <v>17.82</v>
      </c>
      <c r="T232">
        <v>29.2</v>
      </c>
      <c r="U232">
        <v>35507</v>
      </c>
      <c r="V232">
        <v>0.54600000000000004</v>
      </c>
      <c r="W232">
        <v>58.401000000000003</v>
      </c>
      <c r="X232">
        <v>356810</v>
      </c>
      <c r="Y232">
        <v>358675</v>
      </c>
      <c r="Z232">
        <v>910358</v>
      </c>
    </row>
    <row r="233" spans="1:26" x14ac:dyDescent="0.25">
      <c r="A233">
        <v>2001</v>
      </c>
      <c r="B233" t="s">
        <v>55</v>
      </c>
      <c r="C233">
        <v>945361</v>
      </c>
      <c r="D233">
        <v>960442</v>
      </c>
      <c r="E233">
        <v>6660166</v>
      </c>
      <c r="F233">
        <v>6664177</v>
      </c>
      <c r="G233">
        <v>35400</v>
      </c>
      <c r="H233">
        <v>3.6819999999999999</v>
      </c>
      <c r="I233">
        <v>37509</v>
      </c>
      <c r="J233">
        <v>3.9009999999999998</v>
      </c>
      <c r="K233">
        <v>1245022</v>
      </c>
      <c r="L233">
        <v>440236</v>
      </c>
      <c r="M233">
        <v>804786</v>
      </c>
      <c r="N233">
        <v>6.6059999999999999</v>
      </c>
      <c r="O233">
        <v>18.681999999999999</v>
      </c>
      <c r="P233">
        <v>1253209</v>
      </c>
      <c r="Q233">
        <v>467132</v>
      </c>
      <c r="R233">
        <v>786077</v>
      </c>
      <c r="S233">
        <v>7.01</v>
      </c>
      <c r="T233">
        <v>18.805</v>
      </c>
      <c r="U233">
        <v>-8187</v>
      </c>
      <c r="V233">
        <v>-0.123</v>
      </c>
      <c r="W233">
        <v>37.365000000000002</v>
      </c>
      <c r="X233">
        <v>28566</v>
      </c>
      <c r="Y233">
        <v>30540</v>
      </c>
      <c r="Z233">
        <v>381155</v>
      </c>
    </row>
    <row r="234" spans="1:26" x14ac:dyDescent="0.25">
      <c r="A234">
        <v>2001</v>
      </c>
      <c r="B234" t="s">
        <v>56</v>
      </c>
      <c r="C234">
        <v>578140</v>
      </c>
      <c r="D234">
        <v>613987</v>
      </c>
      <c r="E234">
        <v>8145271</v>
      </c>
      <c r="F234">
        <v>8127268</v>
      </c>
      <c r="G234">
        <v>18374</v>
      </c>
      <c r="H234">
        <v>2.99</v>
      </c>
      <c r="I234">
        <v>19579</v>
      </c>
      <c r="J234">
        <v>3.1859999999999999</v>
      </c>
      <c r="K234">
        <v>1335087</v>
      </c>
      <c r="L234">
        <v>401011</v>
      </c>
      <c r="M234">
        <v>934076</v>
      </c>
      <c r="N234">
        <v>4.9340000000000002</v>
      </c>
      <c r="O234">
        <v>16.427</v>
      </c>
      <c r="P234">
        <v>1299661</v>
      </c>
      <c r="Q234">
        <v>436611</v>
      </c>
      <c r="R234">
        <v>863050</v>
      </c>
      <c r="S234">
        <v>5.3719999999999999</v>
      </c>
      <c r="T234">
        <v>15.991</v>
      </c>
      <c r="U234">
        <v>35426</v>
      </c>
      <c r="V234">
        <v>0.436</v>
      </c>
      <c r="W234">
        <v>31.983000000000001</v>
      </c>
      <c r="X234">
        <v>13363</v>
      </c>
      <c r="Y234">
        <v>15588</v>
      </c>
      <c r="Z234">
        <v>361355</v>
      </c>
    </row>
    <row r="235" spans="1:26" x14ac:dyDescent="0.25">
      <c r="A235">
        <v>2001</v>
      </c>
      <c r="B235" t="s">
        <v>57</v>
      </c>
      <c r="C235">
        <v>493916</v>
      </c>
      <c r="D235">
        <v>658036</v>
      </c>
      <c r="E235">
        <v>19991428</v>
      </c>
      <c r="F235">
        <v>19883045</v>
      </c>
      <c r="G235">
        <v>25208</v>
      </c>
      <c r="H235">
        <v>3.8420000000000001</v>
      </c>
      <c r="I235">
        <v>21264</v>
      </c>
      <c r="J235">
        <v>3.2410000000000001</v>
      </c>
      <c r="K235">
        <v>2867133</v>
      </c>
      <c r="L235">
        <v>753591</v>
      </c>
      <c r="M235">
        <v>2113542</v>
      </c>
      <c r="N235">
        <v>3.79</v>
      </c>
      <c r="O235">
        <v>14.42</v>
      </c>
      <c r="P235">
        <v>2651248</v>
      </c>
      <c r="Q235">
        <v>794071</v>
      </c>
      <c r="R235">
        <v>1857177</v>
      </c>
      <c r="S235">
        <v>3.9940000000000002</v>
      </c>
      <c r="T235">
        <v>13.334</v>
      </c>
      <c r="U235">
        <v>215885</v>
      </c>
      <c r="V235">
        <v>1.0860000000000001</v>
      </c>
      <c r="W235">
        <v>26.667999999999999</v>
      </c>
      <c r="X235">
        <v>8580</v>
      </c>
      <c r="Y235">
        <v>13302</v>
      </c>
      <c r="Z235">
        <v>640760</v>
      </c>
    </row>
    <row r="236" spans="1:26" x14ac:dyDescent="0.25">
      <c r="A236">
        <v>2001</v>
      </c>
      <c r="B236" t="s">
        <v>58</v>
      </c>
      <c r="C236">
        <v>82761</v>
      </c>
      <c r="D236">
        <v>311776</v>
      </c>
      <c r="E236">
        <v>15942833</v>
      </c>
      <c r="F236">
        <v>15863325</v>
      </c>
      <c r="G236">
        <v>22623</v>
      </c>
      <c r="H236">
        <v>7.3129999999999997</v>
      </c>
      <c r="I236">
        <v>17789</v>
      </c>
      <c r="J236">
        <v>5.75</v>
      </c>
      <c r="K236">
        <v>2243548</v>
      </c>
      <c r="L236">
        <v>606018</v>
      </c>
      <c r="M236">
        <v>1637530</v>
      </c>
      <c r="N236">
        <v>3.82</v>
      </c>
      <c r="O236">
        <v>14.143000000000001</v>
      </c>
      <c r="P236">
        <v>2084164</v>
      </c>
      <c r="Q236">
        <v>588936</v>
      </c>
      <c r="R236">
        <v>1495228</v>
      </c>
      <c r="S236">
        <v>3.7130000000000001</v>
      </c>
      <c r="T236">
        <v>13.138</v>
      </c>
      <c r="U236">
        <v>159384</v>
      </c>
      <c r="V236">
        <v>1.0049999999999999</v>
      </c>
      <c r="W236">
        <v>26.277000000000001</v>
      </c>
      <c r="X236">
        <v>838</v>
      </c>
      <c r="Y236">
        <v>3341</v>
      </c>
      <c r="Z236">
        <v>305480</v>
      </c>
    </row>
    <row r="237" spans="1:26" x14ac:dyDescent="0.25">
      <c r="A237">
        <v>2001</v>
      </c>
      <c r="B237" t="s">
        <v>59</v>
      </c>
      <c r="C237">
        <v>9454</v>
      </c>
      <c r="D237">
        <v>100815</v>
      </c>
      <c r="E237">
        <v>5818987</v>
      </c>
      <c r="F237">
        <v>5784706</v>
      </c>
      <c r="G237">
        <v>9091</v>
      </c>
      <c r="H237">
        <v>9.0850000000000009</v>
      </c>
      <c r="I237">
        <v>7589</v>
      </c>
      <c r="J237">
        <v>7.5839999999999996</v>
      </c>
      <c r="K237">
        <v>839899</v>
      </c>
      <c r="L237">
        <v>245564</v>
      </c>
      <c r="M237">
        <v>594335</v>
      </c>
      <c r="N237">
        <v>4.2450000000000001</v>
      </c>
      <c r="O237">
        <v>14.519</v>
      </c>
      <c r="P237">
        <v>771937</v>
      </c>
      <c r="Q237">
        <v>226152</v>
      </c>
      <c r="R237">
        <v>545785</v>
      </c>
      <c r="S237">
        <v>3.9089999999999998</v>
      </c>
      <c r="T237">
        <v>13.343999999999999</v>
      </c>
      <c r="U237">
        <v>67962</v>
      </c>
      <c r="V237">
        <v>1.175</v>
      </c>
      <c r="W237">
        <v>26.689</v>
      </c>
      <c r="X237">
        <v>49</v>
      </c>
      <c r="Y237">
        <v>1410</v>
      </c>
      <c r="Z237">
        <v>69748</v>
      </c>
    </row>
    <row r="238" spans="1:26" x14ac:dyDescent="0.25">
      <c r="A238">
        <v>2001</v>
      </c>
      <c r="B238" t="s">
        <v>60</v>
      </c>
      <c r="C238">
        <v>5860</v>
      </c>
      <c r="D238">
        <v>130317</v>
      </c>
      <c r="E238">
        <v>7748469</v>
      </c>
      <c r="F238">
        <v>7728400</v>
      </c>
      <c r="G238">
        <v>15161</v>
      </c>
      <c r="H238">
        <v>11.742000000000001</v>
      </c>
      <c r="I238">
        <v>12766</v>
      </c>
      <c r="J238">
        <v>9.8870000000000005</v>
      </c>
      <c r="K238">
        <v>1100801</v>
      </c>
      <c r="L238">
        <v>364793</v>
      </c>
      <c r="M238">
        <v>736008</v>
      </c>
      <c r="N238">
        <v>4.72</v>
      </c>
      <c r="O238">
        <v>14.244</v>
      </c>
      <c r="P238">
        <v>1058093</v>
      </c>
      <c r="Q238">
        <v>348371</v>
      </c>
      <c r="R238">
        <v>709722</v>
      </c>
      <c r="S238">
        <v>4.508</v>
      </c>
      <c r="T238">
        <v>13.691000000000001</v>
      </c>
      <c r="U238">
        <v>42708</v>
      </c>
      <c r="V238">
        <v>0.55300000000000005</v>
      </c>
      <c r="W238">
        <v>27.382000000000001</v>
      </c>
      <c r="X238">
        <v>29</v>
      </c>
      <c r="Y238">
        <v>2507</v>
      </c>
      <c r="Z238">
        <v>86146</v>
      </c>
    </row>
    <row r="239" spans="1:26" x14ac:dyDescent="0.25">
      <c r="A239">
        <v>2001</v>
      </c>
      <c r="B239" t="s">
        <v>61</v>
      </c>
      <c r="C239">
        <v>2416</v>
      </c>
      <c r="D239">
        <v>103378</v>
      </c>
      <c r="E239">
        <v>6068282</v>
      </c>
      <c r="F239">
        <v>6041897</v>
      </c>
      <c r="G239">
        <v>13372</v>
      </c>
      <c r="H239">
        <v>13.061999999999999</v>
      </c>
      <c r="I239">
        <v>11356</v>
      </c>
      <c r="J239">
        <v>11.093</v>
      </c>
      <c r="K239">
        <v>915746</v>
      </c>
      <c r="L239">
        <v>311751</v>
      </c>
      <c r="M239">
        <v>603995</v>
      </c>
      <c r="N239">
        <v>5.16</v>
      </c>
      <c r="O239">
        <v>15.157</v>
      </c>
      <c r="P239">
        <v>863551</v>
      </c>
      <c r="Q239">
        <v>325539</v>
      </c>
      <c r="R239">
        <v>538012</v>
      </c>
      <c r="S239">
        <v>5.3879999999999999</v>
      </c>
      <c r="T239">
        <v>14.292999999999999</v>
      </c>
      <c r="U239">
        <v>52195</v>
      </c>
      <c r="V239">
        <v>0.86399999999999999</v>
      </c>
      <c r="W239">
        <v>28.585000000000001</v>
      </c>
      <c r="X239">
        <v>7</v>
      </c>
      <c r="Y239">
        <v>356</v>
      </c>
      <c r="Z239">
        <v>48239</v>
      </c>
    </row>
    <row r="240" spans="1:26" x14ac:dyDescent="0.25">
      <c r="A240">
        <v>2001</v>
      </c>
      <c r="B240" t="s">
        <v>63</v>
      </c>
      <c r="C240">
        <v>1366</v>
      </c>
      <c r="D240">
        <v>118688</v>
      </c>
      <c r="E240">
        <v>6407711</v>
      </c>
      <c r="F240">
        <v>6444848</v>
      </c>
      <c r="G240">
        <v>14255</v>
      </c>
      <c r="H240">
        <v>12.087999999999999</v>
      </c>
      <c r="I240">
        <v>12730</v>
      </c>
      <c r="J240">
        <v>10.795</v>
      </c>
      <c r="K240">
        <v>958614</v>
      </c>
      <c r="L240">
        <v>382710</v>
      </c>
      <c r="M240">
        <v>575904</v>
      </c>
      <c r="N240">
        <v>5.9379999999999997</v>
      </c>
      <c r="O240">
        <v>14.874000000000001</v>
      </c>
      <c r="P240">
        <v>1025227</v>
      </c>
      <c r="Q240">
        <v>352955</v>
      </c>
      <c r="R240">
        <v>672272</v>
      </c>
      <c r="S240">
        <v>5.4770000000000003</v>
      </c>
      <c r="T240">
        <v>15.907999999999999</v>
      </c>
      <c r="U240">
        <v>-66613</v>
      </c>
      <c r="V240">
        <v>-1.034</v>
      </c>
      <c r="W240">
        <v>29.748000000000001</v>
      </c>
      <c r="X240" t="s">
        <v>62</v>
      </c>
      <c r="Y240" t="s">
        <v>62</v>
      </c>
      <c r="Z240" t="s">
        <v>62</v>
      </c>
    </row>
    <row r="241" spans="1:26" x14ac:dyDescent="0.25">
      <c r="A241">
        <v>2001</v>
      </c>
      <c r="B241" t="s">
        <v>64</v>
      </c>
      <c r="C241">
        <v>1198</v>
      </c>
      <c r="D241">
        <v>526112</v>
      </c>
      <c r="E241">
        <v>30467867</v>
      </c>
      <c r="F241">
        <v>30616346</v>
      </c>
      <c r="G241">
        <v>54363</v>
      </c>
      <c r="H241">
        <v>10.311999999999999</v>
      </c>
      <c r="I241">
        <v>56485</v>
      </c>
      <c r="J241">
        <v>10.715</v>
      </c>
      <c r="K241">
        <v>4321832</v>
      </c>
      <c r="L241">
        <v>1577388</v>
      </c>
      <c r="M241">
        <v>2744444</v>
      </c>
      <c r="N241">
        <v>5.1520000000000001</v>
      </c>
      <c r="O241">
        <v>14.116</v>
      </c>
      <c r="P241">
        <v>4625975</v>
      </c>
      <c r="Q241">
        <v>1625350</v>
      </c>
      <c r="R241">
        <v>3000625</v>
      </c>
      <c r="S241">
        <v>5.3090000000000002</v>
      </c>
      <c r="T241">
        <v>15.109</v>
      </c>
      <c r="U241">
        <v>-304143</v>
      </c>
      <c r="V241">
        <v>-0.99299999999999999</v>
      </c>
      <c r="W241">
        <v>28.231999999999999</v>
      </c>
      <c r="X241">
        <v>0</v>
      </c>
      <c r="Y241">
        <v>0</v>
      </c>
      <c r="Z241">
        <v>0</v>
      </c>
    </row>
    <row r="242" spans="1:26" x14ac:dyDescent="0.25">
      <c r="A242">
        <v>2002</v>
      </c>
      <c r="B242" t="s">
        <v>54</v>
      </c>
      <c r="C242">
        <v>2826594</v>
      </c>
      <c r="D242">
        <v>2830547</v>
      </c>
      <c r="E242">
        <v>6645624</v>
      </c>
      <c r="F242">
        <v>6612697</v>
      </c>
      <c r="G242">
        <v>508116</v>
      </c>
      <c r="H242">
        <v>17.984999999999999</v>
      </c>
      <c r="I242">
        <v>497419</v>
      </c>
      <c r="J242">
        <v>17.606999999999999</v>
      </c>
      <c r="K242">
        <v>2058788</v>
      </c>
      <c r="L242">
        <v>1302653</v>
      </c>
      <c r="M242">
        <v>756135</v>
      </c>
      <c r="N242">
        <v>19.699000000000002</v>
      </c>
      <c r="O242">
        <v>31.134</v>
      </c>
      <c r="P242">
        <v>1992234</v>
      </c>
      <c r="Q242">
        <v>1232117</v>
      </c>
      <c r="R242">
        <v>760117</v>
      </c>
      <c r="S242">
        <v>18.632999999999999</v>
      </c>
      <c r="T242">
        <v>30.126999999999999</v>
      </c>
      <c r="U242">
        <v>66554</v>
      </c>
      <c r="V242">
        <v>1.006</v>
      </c>
      <c r="W242">
        <v>60.255000000000003</v>
      </c>
      <c r="X242">
        <v>363539</v>
      </c>
      <c r="Y242">
        <v>365661</v>
      </c>
      <c r="Z242">
        <v>935955</v>
      </c>
    </row>
    <row r="243" spans="1:26" x14ac:dyDescent="0.25">
      <c r="A243">
        <v>2002</v>
      </c>
      <c r="B243" t="s">
        <v>55</v>
      </c>
      <c r="C243">
        <v>951474</v>
      </c>
      <c r="D243">
        <v>965095</v>
      </c>
      <c r="E243">
        <v>6709989</v>
      </c>
      <c r="F243">
        <v>6721373</v>
      </c>
      <c r="G243">
        <v>46324</v>
      </c>
      <c r="H243">
        <v>4.8040000000000003</v>
      </c>
      <c r="I243">
        <v>44689</v>
      </c>
      <c r="J243">
        <v>4.6340000000000003</v>
      </c>
      <c r="K243">
        <v>1358588</v>
      </c>
      <c r="L243">
        <v>535436</v>
      </c>
      <c r="M243">
        <v>823152</v>
      </c>
      <c r="N243">
        <v>7.9660000000000002</v>
      </c>
      <c r="O243">
        <v>20.213000000000001</v>
      </c>
      <c r="P243">
        <v>1380908</v>
      </c>
      <c r="Q243">
        <v>527003</v>
      </c>
      <c r="R243">
        <v>853905</v>
      </c>
      <c r="S243">
        <v>7.8410000000000002</v>
      </c>
      <c r="T243">
        <v>20.545000000000002</v>
      </c>
      <c r="U243">
        <v>-22320</v>
      </c>
      <c r="V243">
        <v>-0.33200000000000002</v>
      </c>
      <c r="W243">
        <v>40.426000000000002</v>
      </c>
      <c r="X243">
        <v>31859</v>
      </c>
      <c r="Y243">
        <v>33481</v>
      </c>
      <c r="Z243">
        <v>427303</v>
      </c>
    </row>
    <row r="244" spans="1:26" x14ac:dyDescent="0.25">
      <c r="A244">
        <v>2002</v>
      </c>
      <c r="B244" t="s">
        <v>56</v>
      </c>
      <c r="C244">
        <v>582518</v>
      </c>
      <c r="D244">
        <v>618998</v>
      </c>
      <c r="E244">
        <v>8177231</v>
      </c>
      <c r="F244">
        <v>8193116</v>
      </c>
      <c r="G244">
        <v>32133</v>
      </c>
      <c r="H244">
        <v>5.2119999999999997</v>
      </c>
      <c r="I244">
        <v>27159</v>
      </c>
      <c r="J244">
        <v>4.4050000000000002</v>
      </c>
      <c r="K244">
        <v>1511143</v>
      </c>
      <c r="L244">
        <v>572319</v>
      </c>
      <c r="M244">
        <v>938824</v>
      </c>
      <c r="N244">
        <v>6.9850000000000003</v>
      </c>
      <c r="O244">
        <v>18.443999999999999</v>
      </c>
      <c r="P244">
        <v>1541361</v>
      </c>
      <c r="Q244">
        <v>543702</v>
      </c>
      <c r="R244">
        <v>997659</v>
      </c>
      <c r="S244">
        <v>6.6360000000000001</v>
      </c>
      <c r="T244">
        <v>18.812999999999999</v>
      </c>
      <c r="U244">
        <v>-30218</v>
      </c>
      <c r="V244">
        <v>-0.36899999999999999</v>
      </c>
      <c r="W244">
        <v>36.887999999999998</v>
      </c>
      <c r="X244">
        <v>16150</v>
      </c>
      <c r="Y244">
        <v>17839</v>
      </c>
      <c r="Z244">
        <v>438573</v>
      </c>
    </row>
    <row r="245" spans="1:26" x14ac:dyDescent="0.25">
      <c r="A245">
        <v>2002</v>
      </c>
      <c r="B245" t="s">
        <v>57</v>
      </c>
      <c r="C245">
        <v>489920</v>
      </c>
      <c r="D245">
        <v>664213</v>
      </c>
      <c r="E245">
        <v>19645773</v>
      </c>
      <c r="F245">
        <v>19828467</v>
      </c>
      <c r="G245">
        <v>45695</v>
      </c>
      <c r="H245">
        <v>6.9530000000000003</v>
      </c>
      <c r="I245">
        <v>31644</v>
      </c>
      <c r="J245">
        <v>4.8150000000000004</v>
      </c>
      <c r="K245">
        <v>3319679</v>
      </c>
      <c r="L245">
        <v>1302931</v>
      </c>
      <c r="M245">
        <v>2016748</v>
      </c>
      <c r="N245">
        <v>6.5709999999999997</v>
      </c>
      <c r="O245">
        <v>16.742000000000001</v>
      </c>
      <c r="P245">
        <v>3682286</v>
      </c>
      <c r="Q245">
        <v>1152341</v>
      </c>
      <c r="R245">
        <v>2529945</v>
      </c>
      <c r="S245">
        <v>5.8120000000000003</v>
      </c>
      <c r="T245">
        <v>18.571000000000002</v>
      </c>
      <c r="U245">
        <v>-362607</v>
      </c>
      <c r="V245">
        <v>-1.829</v>
      </c>
      <c r="W245">
        <v>33.484000000000002</v>
      </c>
      <c r="X245">
        <v>11399</v>
      </c>
      <c r="Y245">
        <v>15387</v>
      </c>
      <c r="Z245">
        <v>879393</v>
      </c>
    </row>
    <row r="246" spans="1:26" x14ac:dyDescent="0.25">
      <c r="A246">
        <v>2002</v>
      </c>
      <c r="B246" t="s">
        <v>58</v>
      </c>
      <c r="C246">
        <v>81172</v>
      </c>
      <c r="D246">
        <v>318933</v>
      </c>
      <c r="E246">
        <v>15459375</v>
      </c>
      <c r="F246">
        <v>15672421</v>
      </c>
      <c r="G246">
        <v>24123</v>
      </c>
      <c r="H246">
        <v>7.6379999999999999</v>
      </c>
      <c r="I246">
        <v>17954</v>
      </c>
      <c r="J246">
        <v>5.6840000000000002</v>
      </c>
      <c r="K246">
        <v>2364261</v>
      </c>
      <c r="L246">
        <v>860908</v>
      </c>
      <c r="M246">
        <v>1503353</v>
      </c>
      <c r="N246">
        <v>5.4930000000000003</v>
      </c>
      <c r="O246">
        <v>15.085000000000001</v>
      </c>
      <c r="P246">
        <v>2791301</v>
      </c>
      <c r="Q246">
        <v>733429</v>
      </c>
      <c r="R246">
        <v>2057872</v>
      </c>
      <c r="S246">
        <v>4.68</v>
      </c>
      <c r="T246">
        <v>17.809999999999999</v>
      </c>
      <c r="U246">
        <v>-427040</v>
      </c>
      <c r="V246">
        <v>-2.7250000000000001</v>
      </c>
      <c r="W246">
        <v>30.170999999999999</v>
      </c>
      <c r="X246">
        <v>1230</v>
      </c>
      <c r="Y246">
        <v>3877</v>
      </c>
      <c r="Z246">
        <v>431581</v>
      </c>
    </row>
    <row r="247" spans="1:26" x14ac:dyDescent="0.25">
      <c r="A247">
        <v>2002</v>
      </c>
      <c r="B247" t="s">
        <v>59</v>
      </c>
      <c r="C247">
        <v>9455</v>
      </c>
      <c r="D247">
        <v>104116</v>
      </c>
      <c r="E247">
        <v>5653585</v>
      </c>
      <c r="F247">
        <v>5752631</v>
      </c>
      <c r="G247">
        <v>10108</v>
      </c>
      <c r="H247">
        <v>9.8179999999999996</v>
      </c>
      <c r="I247">
        <v>7792</v>
      </c>
      <c r="J247">
        <v>7.5679999999999996</v>
      </c>
      <c r="K247">
        <v>809589</v>
      </c>
      <c r="L247">
        <v>280616</v>
      </c>
      <c r="M247">
        <v>528973</v>
      </c>
      <c r="N247">
        <v>4.8780000000000001</v>
      </c>
      <c r="O247">
        <v>14.073</v>
      </c>
      <c r="P247">
        <v>1006660</v>
      </c>
      <c r="Q247">
        <v>282154</v>
      </c>
      <c r="R247">
        <v>724506</v>
      </c>
      <c r="S247">
        <v>4.9050000000000002</v>
      </c>
      <c r="T247">
        <v>17.498999999999999</v>
      </c>
      <c r="U247">
        <v>-197071</v>
      </c>
      <c r="V247">
        <v>-3.4260000000000002</v>
      </c>
      <c r="W247">
        <v>28.146999999999998</v>
      </c>
      <c r="X247">
        <v>78</v>
      </c>
      <c r="Y247">
        <v>1255</v>
      </c>
      <c r="Z247">
        <v>104682</v>
      </c>
    </row>
    <row r="248" spans="1:26" x14ac:dyDescent="0.25">
      <c r="A248">
        <v>2002</v>
      </c>
      <c r="B248" t="s">
        <v>60</v>
      </c>
      <c r="C248">
        <v>5953</v>
      </c>
      <c r="D248">
        <v>127418</v>
      </c>
      <c r="E248">
        <v>7518738</v>
      </c>
      <c r="F248">
        <v>7636798</v>
      </c>
      <c r="G248">
        <v>11151</v>
      </c>
      <c r="H248">
        <v>8.7550000000000008</v>
      </c>
      <c r="I248">
        <v>11053</v>
      </c>
      <c r="J248">
        <v>8.6780000000000008</v>
      </c>
      <c r="K248">
        <v>1072314</v>
      </c>
      <c r="L248">
        <v>376542</v>
      </c>
      <c r="M248">
        <v>695772</v>
      </c>
      <c r="N248">
        <v>4.931</v>
      </c>
      <c r="O248">
        <v>14.041</v>
      </c>
      <c r="P248">
        <v>1306159</v>
      </c>
      <c r="Q248">
        <v>390995</v>
      </c>
      <c r="R248">
        <v>915164</v>
      </c>
      <c r="S248">
        <v>5.12</v>
      </c>
      <c r="T248">
        <v>17.103000000000002</v>
      </c>
      <c r="U248">
        <v>-233845</v>
      </c>
      <c r="V248">
        <v>-3.0619999999999998</v>
      </c>
      <c r="W248">
        <v>28.082999999999998</v>
      </c>
      <c r="X248">
        <v>35</v>
      </c>
      <c r="Y248">
        <v>1154</v>
      </c>
      <c r="Z248">
        <v>102297</v>
      </c>
    </row>
    <row r="249" spans="1:26" x14ac:dyDescent="0.25">
      <c r="A249">
        <v>2002</v>
      </c>
      <c r="B249" t="s">
        <v>61</v>
      </c>
      <c r="C249">
        <v>2434</v>
      </c>
      <c r="D249">
        <v>101784</v>
      </c>
      <c r="E249">
        <v>5896464</v>
      </c>
      <c r="F249">
        <v>5975557</v>
      </c>
      <c r="G249">
        <v>10443</v>
      </c>
      <c r="H249">
        <v>10.29</v>
      </c>
      <c r="I249">
        <v>9844</v>
      </c>
      <c r="J249">
        <v>9.6999999999999993</v>
      </c>
      <c r="K249">
        <v>842377</v>
      </c>
      <c r="L249">
        <v>292843</v>
      </c>
      <c r="M249">
        <v>549534</v>
      </c>
      <c r="N249">
        <v>4.9009999999999998</v>
      </c>
      <c r="O249">
        <v>14.097</v>
      </c>
      <c r="P249">
        <v>1002524</v>
      </c>
      <c r="Q249">
        <v>293630</v>
      </c>
      <c r="R249">
        <v>708894</v>
      </c>
      <c r="S249">
        <v>4.9139999999999997</v>
      </c>
      <c r="T249">
        <v>16.777000000000001</v>
      </c>
      <c r="U249">
        <v>-160147</v>
      </c>
      <c r="V249">
        <v>-2.68</v>
      </c>
      <c r="W249">
        <v>28.193999999999999</v>
      </c>
      <c r="X249">
        <v>6</v>
      </c>
      <c r="Y249">
        <v>695</v>
      </c>
      <c r="Z249">
        <v>43239</v>
      </c>
    </row>
    <row r="250" spans="1:26" x14ac:dyDescent="0.25">
      <c r="A250">
        <v>2002</v>
      </c>
      <c r="B250" t="s">
        <v>63</v>
      </c>
      <c r="C250">
        <v>1402</v>
      </c>
      <c r="D250">
        <v>120398</v>
      </c>
      <c r="E250">
        <v>6193515</v>
      </c>
      <c r="F250">
        <v>6311058</v>
      </c>
      <c r="G250">
        <v>12370</v>
      </c>
      <c r="H250">
        <v>10.319000000000001</v>
      </c>
      <c r="I250">
        <v>11334</v>
      </c>
      <c r="J250">
        <v>9.4540000000000006</v>
      </c>
      <c r="K250">
        <v>906215</v>
      </c>
      <c r="L250">
        <v>338001</v>
      </c>
      <c r="M250">
        <v>568214</v>
      </c>
      <c r="N250">
        <v>5.3559999999999999</v>
      </c>
      <c r="O250">
        <v>14.359</v>
      </c>
      <c r="P250">
        <v>1131406</v>
      </c>
      <c r="Q250">
        <v>316167</v>
      </c>
      <c r="R250">
        <v>815239</v>
      </c>
      <c r="S250">
        <v>5.01</v>
      </c>
      <c r="T250">
        <v>17.927</v>
      </c>
      <c r="U250">
        <v>-225191</v>
      </c>
      <c r="V250">
        <v>-3.5680000000000001</v>
      </c>
      <c r="W250">
        <v>28.718</v>
      </c>
      <c r="X250" t="s">
        <v>62</v>
      </c>
      <c r="Y250" t="s">
        <v>62</v>
      </c>
      <c r="Z250" t="s">
        <v>62</v>
      </c>
    </row>
    <row r="251" spans="1:26" x14ac:dyDescent="0.25">
      <c r="A251">
        <v>2002</v>
      </c>
      <c r="B251" t="s">
        <v>64</v>
      </c>
      <c r="C251">
        <v>1246</v>
      </c>
      <c r="D251">
        <v>541114</v>
      </c>
      <c r="E251">
        <v>29898925</v>
      </c>
      <c r="F251">
        <v>30450906</v>
      </c>
      <c r="G251">
        <v>58439</v>
      </c>
      <c r="H251">
        <v>10.804</v>
      </c>
      <c r="I251">
        <v>58003</v>
      </c>
      <c r="J251">
        <v>10.724</v>
      </c>
      <c r="K251">
        <v>4291499</v>
      </c>
      <c r="L251">
        <v>1602037</v>
      </c>
      <c r="M251">
        <v>2689462</v>
      </c>
      <c r="N251">
        <v>5.2610000000000001</v>
      </c>
      <c r="O251">
        <v>14.093</v>
      </c>
      <c r="P251">
        <v>5422439</v>
      </c>
      <c r="Q251">
        <v>1680919</v>
      </c>
      <c r="R251">
        <v>3741520</v>
      </c>
      <c r="S251">
        <v>5.52</v>
      </c>
      <c r="T251">
        <v>17.806999999999999</v>
      </c>
      <c r="U251">
        <v>-1130940</v>
      </c>
      <c r="V251">
        <v>-3.714</v>
      </c>
      <c r="W251">
        <v>28.186</v>
      </c>
      <c r="X251" t="s">
        <v>62</v>
      </c>
      <c r="Y251" t="s">
        <v>62</v>
      </c>
      <c r="Z251" t="s">
        <v>62</v>
      </c>
    </row>
    <row r="252" spans="1:26" x14ac:dyDescent="0.25">
      <c r="A252">
        <v>2003</v>
      </c>
      <c r="B252" t="s">
        <v>54</v>
      </c>
      <c r="C252">
        <v>2871191</v>
      </c>
      <c r="D252">
        <v>2874798</v>
      </c>
      <c r="E252">
        <v>6734579</v>
      </c>
      <c r="F252">
        <v>6633475</v>
      </c>
      <c r="G252">
        <v>537355</v>
      </c>
      <c r="H252">
        <v>18.899000000000001</v>
      </c>
      <c r="I252">
        <v>474446</v>
      </c>
      <c r="J252">
        <v>16.686</v>
      </c>
      <c r="K252">
        <v>2096377</v>
      </c>
      <c r="L252">
        <v>1346511</v>
      </c>
      <c r="M252">
        <v>749866</v>
      </c>
      <c r="N252">
        <v>20.298999999999999</v>
      </c>
      <c r="O252">
        <v>31.603000000000002</v>
      </c>
      <c r="P252">
        <v>1889298</v>
      </c>
      <c r="Q252">
        <v>1153726</v>
      </c>
      <c r="R252">
        <v>735572</v>
      </c>
      <c r="S252">
        <v>17.391999999999999</v>
      </c>
      <c r="T252">
        <v>28.481000000000002</v>
      </c>
      <c r="U252">
        <v>207079</v>
      </c>
      <c r="V252">
        <v>3.1219999999999999</v>
      </c>
      <c r="W252">
        <v>56.963000000000001</v>
      </c>
      <c r="X252">
        <v>366935</v>
      </c>
      <c r="Y252">
        <v>368382</v>
      </c>
      <c r="Z252">
        <v>929889</v>
      </c>
    </row>
    <row r="253" spans="1:26" x14ac:dyDescent="0.25">
      <c r="A253">
        <v>2003</v>
      </c>
      <c r="B253" t="s">
        <v>55</v>
      </c>
      <c r="C253">
        <v>954300</v>
      </c>
      <c r="D253">
        <v>966486</v>
      </c>
      <c r="E253">
        <v>6750281</v>
      </c>
      <c r="F253">
        <v>6690200</v>
      </c>
      <c r="G253">
        <v>38664</v>
      </c>
      <c r="H253">
        <v>4.0069999999999997</v>
      </c>
      <c r="I253">
        <v>35496</v>
      </c>
      <c r="J253">
        <v>3.6789999999999998</v>
      </c>
      <c r="K253">
        <v>1340042</v>
      </c>
      <c r="L253">
        <v>482664</v>
      </c>
      <c r="M253">
        <v>857378</v>
      </c>
      <c r="N253">
        <v>7.2140000000000004</v>
      </c>
      <c r="O253">
        <v>20.03</v>
      </c>
      <c r="P253">
        <v>1219966</v>
      </c>
      <c r="Q253">
        <v>436476</v>
      </c>
      <c r="R253">
        <v>783490</v>
      </c>
      <c r="S253">
        <v>6.524</v>
      </c>
      <c r="T253">
        <v>18.234999999999999</v>
      </c>
      <c r="U253">
        <v>120076</v>
      </c>
      <c r="V253">
        <v>1.7949999999999999</v>
      </c>
      <c r="W253">
        <v>36.47</v>
      </c>
      <c r="X253">
        <v>28481</v>
      </c>
      <c r="Y253">
        <v>29888</v>
      </c>
      <c r="Z253">
        <v>378267</v>
      </c>
    </row>
    <row r="254" spans="1:26" x14ac:dyDescent="0.25">
      <c r="A254">
        <v>2003</v>
      </c>
      <c r="B254" t="s">
        <v>56</v>
      </c>
      <c r="C254">
        <v>584624</v>
      </c>
      <c r="D254">
        <v>620582</v>
      </c>
      <c r="E254">
        <v>8249708</v>
      </c>
      <c r="F254">
        <v>8172251</v>
      </c>
      <c r="G254">
        <v>20836</v>
      </c>
      <c r="H254">
        <v>3.36</v>
      </c>
      <c r="I254">
        <v>19810</v>
      </c>
      <c r="J254">
        <v>3.1949999999999998</v>
      </c>
      <c r="K254">
        <v>1452401</v>
      </c>
      <c r="L254">
        <v>447069</v>
      </c>
      <c r="M254">
        <v>1005332</v>
      </c>
      <c r="N254">
        <v>5.4710000000000001</v>
      </c>
      <c r="O254">
        <v>17.771999999999998</v>
      </c>
      <c r="P254">
        <v>1296984</v>
      </c>
      <c r="Q254">
        <v>409902</v>
      </c>
      <c r="R254">
        <v>887082</v>
      </c>
      <c r="S254">
        <v>5.016</v>
      </c>
      <c r="T254">
        <v>15.871</v>
      </c>
      <c r="U254">
        <v>155417</v>
      </c>
      <c r="V254">
        <v>1.9019999999999999</v>
      </c>
      <c r="W254">
        <v>31.741</v>
      </c>
      <c r="X254">
        <v>12874</v>
      </c>
      <c r="Y254">
        <v>14561</v>
      </c>
      <c r="Z254">
        <v>347276</v>
      </c>
    </row>
    <row r="255" spans="1:26" x14ac:dyDescent="0.25">
      <c r="A255">
        <v>2003</v>
      </c>
      <c r="B255" t="s">
        <v>57</v>
      </c>
      <c r="C255">
        <v>491709</v>
      </c>
      <c r="D255">
        <v>665619</v>
      </c>
      <c r="E255">
        <v>19886597</v>
      </c>
      <c r="F255">
        <v>19626179</v>
      </c>
      <c r="G255">
        <v>25555</v>
      </c>
      <c r="H255">
        <v>3.8420000000000001</v>
      </c>
      <c r="I255">
        <v>24685</v>
      </c>
      <c r="J255">
        <v>3.7109999999999999</v>
      </c>
      <c r="K255">
        <v>3188090</v>
      </c>
      <c r="L255">
        <v>810651</v>
      </c>
      <c r="M255">
        <v>2377439</v>
      </c>
      <c r="N255">
        <v>4.13</v>
      </c>
      <c r="O255">
        <v>16.244</v>
      </c>
      <c r="P255">
        <v>2666815</v>
      </c>
      <c r="Q255">
        <v>732581</v>
      </c>
      <c r="R255">
        <v>1934234</v>
      </c>
      <c r="S255">
        <v>3.7330000000000001</v>
      </c>
      <c r="T255">
        <v>13.587999999999999</v>
      </c>
      <c r="U255">
        <v>521275</v>
      </c>
      <c r="V255">
        <v>2.6560000000000001</v>
      </c>
      <c r="W255">
        <v>27.175999999999998</v>
      </c>
      <c r="X255">
        <v>7448</v>
      </c>
      <c r="Y255">
        <v>11114</v>
      </c>
      <c r="Z255">
        <v>550489</v>
      </c>
    </row>
    <row r="256" spans="1:26" x14ac:dyDescent="0.25">
      <c r="A256">
        <v>2003</v>
      </c>
      <c r="B256" t="s">
        <v>58</v>
      </c>
      <c r="C256">
        <v>82974</v>
      </c>
      <c r="D256">
        <v>326994</v>
      </c>
      <c r="E256">
        <v>16056226</v>
      </c>
      <c r="F256">
        <v>15813060</v>
      </c>
      <c r="G256">
        <v>20557</v>
      </c>
      <c r="H256">
        <v>6.3040000000000003</v>
      </c>
      <c r="I256">
        <v>18741</v>
      </c>
      <c r="J256">
        <v>5.7469999999999999</v>
      </c>
      <c r="K256">
        <v>2556289</v>
      </c>
      <c r="L256">
        <v>614669</v>
      </c>
      <c r="M256">
        <v>1941620</v>
      </c>
      <c r="N256">
        <v>3.887</v>
      </c>
      <c r="O256">
        <v>16.166</v>
      </c>
      <c r="P256">
        <v>2068603</v>
      </c>
      <c r="Q256">
        <v>586981</v>
      </c>
      <c r="R256">
        <v>1481622</v>
      </c>
      <c r="S256">
        <v>3.7120000000000002</v>
      </c>
      <c r="T256">
        <v>13.082000000000001</v>
      </c>
      <c r="U256">
        <v>487686</v>
      </c>
      <c r="V256">
        <v>3.0840000000000001</v>
      </c>
      <c r="W256">
        <v>26.163</v>
      </c>
      <c r="X256">
        <v>758</v>
      </c>
      <c r="Y256">
        <v>2616</v>
      </c>
      <c r="Z256">
        <v>265948</v>
      </c>
    </row>
    <row r="257" spans="1:26" x14ac:dyDescent="0.25">
      <c r="A257">
        <v>2003</v>
      </c>
      <c r="B257" t="s">
        <v>59</v>
      </c>
      <c r="C257">
        <v>9394</v>
      </c>
      <c r="D257">
        <v>104893</v>
      </c>
      <c r="E257">
        <v>5619831</v>
      </c>
      <c r="F257">
        <v>5603123</v>
      </c>
      <c r="G257">
        <v>7298</v>
      </c>
      <c r="H257">
        <v>6.9589999999999996</v>
      </c>
      <c r="I257">
        <v>7255</v>
      </c>
      <c r="J257">
        <v>6.9180000000000001</v>
      </c>
      <c r="K257">
        <v>791843</v>
      </c>
      <c r="L257">
        <v>211701</v>
      </c>
      <c r="M257">
        <v>580142</v>
      </c>
      <c r="N257">
        <v>3.778</v>
      </c>
      <c r="O257">
        <v>14.132</v>
      </c>
      <c r="P257">
        <v>757040</v>
      </c>
      <c r="Q257">
        <v>211194</v>
      </c>
      <c r="R257">
        <v>545846</v>
      </c>
      <c r="S257">
        <v>3.7690000000000001</v>
      </c>
      <c r="T257">
        <v>13.510999999999999</v>
      </c>
      <c r="U257">
        <v>34803</v>
      </c>
      <c r="V257">
        <v>0.621</v>
      </c>
      <c r="W257">
        <v>27.021999999999998</v>
      </c>
      <c r="X257">
        <v>40</v>
      </c>
      <c r="Y257">
        <v>354</v>
      </c>
      <c r="Z257">
        <v>55584</v>
      </c>
    </row>
    <row r="258" spans="1:26" x14ac:dyDescent="0.25">
      <c r="A258">
        <v>2003</v>
      </c>
      <c r="B258" t="s">
        <v>60</v>
      </c>
      <c r="C258">
        <v>5883</v>
      </c>
      <c r="D258">
        <v>129399</v>
      </c>
      <c r="E258">
        <v>7521748</v>
      </c>
      <c r="F258">
        <v>7512893</v>
      </c>
      <c r="G258">
        <v>11831</v>
      </c>
      <c r="H258">
        <v>9.2080000000000002</v>
      </c>
      <c r="I258">
        <v>10005</v>
      </c>
      <c r="J258">
        <v>7.7869999999999999</v>
      </c>
      <c r="K258">
        <v>1030097</v>
      </c>
      <c r="L258">
        <v>331396</v>
      </c>
      <c r="M258">
        <v>698701</v>
      </c>
      <c r="N258">
        <v>4.4109999999999996</v>
      </c>
      <c r="O258">
        <v>13.711</v>
      </c>
      <c r="P258">
        <v>1004264</v>
      </c>
      <c r="Q258">
        <v>304570</v>
      </c>
      <c r="R258">
        <v>699694</v>
      </c>
      <c r="S258">
        <v>4.0540000000000003</v>
      </c>
      <c r="T258">
        <v>13.367000000000001</v>
      </c>
      <c r="U258">
        <v>25833</v>
      </c>
      <c r="V258">
        <v>0.34399999999999997</v>
      </c>
      <c r="W258">
        <v>26.734000000000002</v>
      </c>
      <c r="X258">
        <v>23</v>
      </c>
      <c r="Y258">
        <v>1039</v>
      </c>
      <c r="Z258">
        <v>69449</v>
      </c>
    </row>
    <row r="259" spans="1:26" x14ac:dyDescent="0.25">
      <c r="A259">
        <v>2003</v>
      </c>
      <c r="B259" t="s">
        <v>61</v>
      </c>
      <c r="C259">
        <v>2402</v>
      </c>
      <c r="D259">
        <v>104596</v>
      </c>
      <c r="E259">
        <v>5868762</v>
      </c>
      <c r="F259">
        <v>5899058</v>
      </c>
      <c r="G259">
        <v>9160</v>
      </c>
      <c r="H259">
        <v>8.76</v>
      </c>
      <c r="I259">
        <v>9109</v>
      </c>
      <c r="J259">
        <v>8.7110000000000003</v>
      </c>
      <c r="K259">
        <v>753000</v>
      </c>
      <c r="L259">
        <v>216276</v>
      </c>
      <c r="M259">
        <v>536724</v>
      </c>
      <c r="N259">
        <v>3.6659999999999999</v>
      </c>
      <c r="O259">
        <v>12.765000000000001</v>
      </c>
      <c r="P259">
        <v>809808</v>
      </c>
      <c r="Q259">
        <v>240199</v>
      </c>
      <c r="R259">
        <v>569609</v>
      </c>
      <c r="S259">
        <v>4.0720000000000001</v>
      </c>
      <c r="T259">
        <v>13.728</v>
      </c>
      <c r="U259">
        <v>-56808</v>
      </c>
      <c r="V259">
        <v>-0.96299999999999997</v>
      </c>
      <c r="W259">
        <v>25.53</v>
      </c>
      <c r="X259" t="s">
        <v>62</v>
      </c>
      <c r="Y259" t="s">
        <v>62</v>
      </c>
      <c r="Z259" t="s">
        <v>62</v>
      </c>
    </row>
    <row r="260" spans="1:26" x14ac:dyDescent="0.25">
      <c r="A260">
        <v>2003</v>
      </c>
      <c r="B260" t="s">
        <v>63</v>
      </c>
      <c r="C260">
        <v>1395</v>
      </c>
      <c r="D260">
        <v>117150</v>
      </c>
      <c r="E260">
        <v>6265455</v>
      </c>
      <c r="F260">
        <v>6301985</v>
      </c>
      <c r="G260">
        <v>12035</v>
      </c>
      <c r="H260">
        <v>10.352</v>
      </c>
      <c r="I260">
        <v>10258</v>
      </c>
      <c r="J260">
        <v>8.8230000000000004</v>
      </c>
      <c r="K260">
        <v>832223</v>
      </c>
      <c r="L260">
        <v>237487</v>
      </c>
      <c r="M260">
        <v>594736</v>
      </c>
      <c r="N260">
        <v>3.7679999999999998</v>
      </c>
      <c r="O260">
        <v>13.206</v>
      </c>
      <c r="P260">
        <v>904004</v>
      </c>
      <c r="Q260">
        <v>286007</v>
      </c>
      <c r="R260">
        <v>617997</v>
      </c>
      <c r="S260">
        <v>4.5380000000000003</v>
      </c>
      <c r="T260">
        <v>14.345000000000001</v>
      </c>
      <c r="U260">
        <v>-71781</v>
      </c>
      <c r="V260">
        <v>-1.139</v>
      </c>
      <c r="W260">
        <v>26.411000000000001</v>
      </c>
      <c r="X260">
        <v>0</v>
      </c>
      <c r="Y260">
        <v>0</v>
      </c>
      <c r="Z260">
        <v>0</v>
      </c>
    </row>
    <row r="261" spans="1:26" x14ac:dyDescent="0.25">
      <c r="A261">
        <v>2003</v>
      </c>
      <c r="B261" t="s">
        <v>64</v>
      </c>
      <c r="C261">
        <v>1525</v>
      </c>
      <c r="D261">
        <v>548514</v>
      </c>
      <c r="E261">
        <v>29507330</v>
      </c>
      <c r="F261">
        <v>29876994</v>
      </c>
      <c r="G261">
        <v>50759</v>
      </c>
      <c r="H261">
        <v>9.2140000000000004</v>
      </c>
      <c r="I261">
        <v>55557</v>
      </c>
      <c r="J261">
        <v>10.085000000000001</v>
      </c>
      <c r="K261">
        <v>3639011</v>
      </c>
      <c r="L261">
        <v>1307758</v>
      </c>
      <c r="M261">
        <v>2331253</v>
      </c>
      <c r="N261">
        <v>4.3769999999999998</v>
      </c>
      <c r="O261">
        <v>12.18</v>
      </c>
      <c r="P261">
        <v>4403047</v>
      </c>
      <c r="Q261">
        <v>1478937</v>
      </c>
      <c r="R261">
        <v>2924110</v>
      </c>
      <c r="S261">
        <v>4.95</v>
      </c>
      <c r="T261">
        <v>14.737</v>
      </c>
      <c r="U261">
        <v>-764036</v>
      </c>
      <c r="V261">
        <v>-2.5569999999999999</v>
      </c>
      <c r="W261">
        <v>24.36</v>
      </c>
      <c r="X261" t="s">
        <v>62</v>
      </c>
      <c r="Y261" t="s">
        <v>62</v>
      </c>
      <c r="Z261" t="s">
        <v>62</v>
      </c>
    </row>
    <row r="262" spans="1:26" x14ac:dyDescent="0.25">
      <c r="A262">
        <v>2004</v>
      </c>
      <c r="B262" t="s">
        <v>54</v>
      </c>
      <c r="C262">
        <v>2927558</v>
      </c>
      <c r="D262">
        <v>2931851</v>
      </c>
      <c r="E262">
        <v>6867535</v>
      </c>
      <c r="F262">
        <v>6725122</v>
      </c>
      <c r="G262">
        <v>559011</v>
      </c>
      <c r="H262">
        <v>19.361000000000001</v>
      </c>
      <c r="I262">
        <v>469923</v>
      </c>
      <c r="J262">
        <v>16.274999999999999</v>
      </c>
      <c r="K262">
        <v>2145103</v>
      </c>
      <c r="L262">
        <v>1383174</v>
      </c>
      <c r="M262">
        <v>761929</v>
      </c>
      <c r="N262">
        <v>20.567</v>
      </c>
      <c r="O262">
        <v>31.896999999999998</v>
      </c>
      <c r="P262">
        <v>1862331</v>
      </c>
      <c r="Q262">
        <v>1146637</v>
      </c>
      <c r="R262">
        <v>715694</v>
      </c>
      <c r="S262">
        <v>17.05</v>
      </c>
      <c r="T262">
        <v>27.692</v>
      </c>
      <c r="U262">
        <v>282772</v>
      </c>
      <c r="V262">
        <v>4.2050000000000001</v>
      </c>
      <c r="W262">
        <v>55.384</v>
      </c>
      <c r="X262">
        <v>364306</v>
      </c>
      <c r="Y262">
        <v>365435</v>
      </c>
      <c r="Z262">
        <v>924524</v>
      </c>
    </row>
    <row r="263" spans="1:26" x14ac:dyDescent="0.25">
      <c r="A263">
        <v>2004</v>
      </c>
      <c r="B263" t="s">
        <v>55</v>
      </c>
      <c r="C263">
        <v>970056</v>
      </c>
      <c r="D263">
        <v>983311</v>
      </c>
      <c r="E263">
        <v>6891033</v>
      </c>
      <c r="F263">
        <v>6803778</v>
      </c>
      <c r="G263">
        <v>38075</v>
      </c>
      <c r="H263">
        <v>3.879</v>
      </c>
      <c r="I263">
        <v>34636</v>
      </c>
      <c r="J263">
        <v>3.5289999999999999</v>
      </c>
      <c r="K263">
        <v>1371843</v>
      </c>
      <c r="L263">
        <v>488943</v>
      </c>
      <c r="M263">
        <v>882900</v>
      </c>
      <c r="N263">
        <v>7.1859999999999999</v>
      </c>
      <c r="O263">
        <v>20.163</v>
      </c>
      <c r="P263">
        <v>1197827</v>
      </c>
      <c r="Q263">
        <v>440003</v>
      </c>
      <c r="R263">
        <v>757824</v>
      </c>
      <c r="S263">
        <v>6.4669999999999996</v>
      </c>
      <c r="T263">
        <v>17.605</v>
      </c>
      <c r="U263">
        <v>174016</v>
      </c>
      <c r="V263">
        <v>2.5579999999999998</v>
      </c>
      <c r="W263">
        <v>35.210999999999999</v>
      </c>
      <c r="X263">
        <v>28462</v>
      </c>
      <c r="Y263">
        <v>29710</v>
      </c>
      <c r="Z263">
        <v>379501</v>
      </c>
    </row>
    <row r="264" spans="1:26" x14ac:dyDescent="0.25">
      <c r="A264">
        <v>2004</v>
      </c>
      <c r="B264" t="s">
        <v>56</v>
      </c>
      <c r="C264">
        <v>593192</v>
      </c>
      <c r="D264">
        <v>628903</v>
      </c>
      <c r="E264">
        <v>8409086</v>
      </c>
      <c r="F264">
        <v>8309053</v>
      </c>
      <c r="G264">
        <v>18446</v>
      </c>
      <c r="H264">
        <v>2.9350000000000001</v>
      </c>
      <c r="I264">
        <v>17811</v>
      </c>
      <c r="J264">
        <v>2.8340000000000001</v>
      </c>
      <c r="K264">
        <v>1459707</v>
      </c>
      <c r="L264">
        <v>435341</v>
      </c>
      <c r="M264">
        <v>1024366</v>
      </c>
      <c r="N264">
        <v>5.2389999999999999</v>
      </c>
      <c r="O264">
        <v>17.568000000000001</v>
      </c>
      <c r="P264">
        <v>1259040</v>
      </c>
      <c r="Q264">
        <v>409039</v>
      </c>
      <c r="R264">
        <v>850001</v>
      </c>
      <c r="S264">
        <v>4.923</v>
      </c>
      <c r="T264">
        <v>15.153</v>
      </c>
      <c r="U264">
        <v>200667</v>
      </c>
      <c r="V264">
        <v>2.415</v>
      </c>
      <c r="W264">
        <v>30.305</v>
      </c>
      <c r="X264">
        <v>13056</v>
      </c>
      <c r="Y264">
        <v>14807</v>
      </c>
      <c r="Z264">
        <v>352490</v>
      </c>
    </row>
    <row r="265" spans="1:26" x14ac:dyDescent="0.25">
      <c r="A265">
        <v>2004</v>
      </c>
      <c r="B265" t="s">
        <v>57</v>
      </c>
      <c r="C265">
        <v>499575</v>
      </c>
      <c r="D265">
        <v>671959</v>
      </c>
      <c r="E265">
        <v>20223267</v>
      </c>
      <c r="F265">
        <v>19992244</v>
      </c>
      <c r="G265">
        <v>19822</v>
      </c>
      <c r="H265">
        <v>2.9550000000000001</v>
      </c>
      <c r="I265">
        <v>17587</v>
      </c>
      <c r="J265">
        <v>2.6219999999999999</v>
      </c>
      <c r="K265">
        <v>2946304</v>
      </c>
      <c r="L265">
        <v>781752</v>
      </c>
      <c r="M265">
        <v>2164552</v>
      </c>
      <c r="N265">
        <v>3.91</v>
      </c>
      <c r="O265">
        <v>14.737</v>
      </c>
      <c r="P265">
        <v>2483011</v>
      </c>
      <c r="Q265">
        <v>696454</v>
      </c>
      <c r="R265">
        <v>1786557</v>
      </c>
      <c r="S265">
        <v>3.484</v>
      </c>
      <c r="T265">
        <v>12.42</v>
      </c>
      <c r="U265">
        <v>463293</v>
      </c>
      <c r="V265">
        <v>2.3170000000000002</v>
      </c>
      <c r="W265">
        <v>24.84</v>
      </c>
      <c r="X265">
        <v>7685</v>
      </c>
      <c r="Y265">
        <v>11228</v>
      </c>
      <c r="Z265">
        <v>570505</v>
      </c>
    </row>
    <row r="266" spans="1:26" x14ac:dyDescent="0.25">
      <c r="A266">
        <v>2004</v>
      </c>
      <c r="B266" t="s">
        <v>58</v>
      </c>
      <c r="C266">
        <v>84505</v>
      </c>
      <c r="D266">
        <v>329942</v>
      </c>
      <c r="E266">
        <v>16394762</v>
      </c>
      <c r="F266">
        <v>16249112</v>
      </c>
      <c r="G266">
        <v>17981</v>
      </c>
      <c r="H266">
        <v>5.4749999999999996</v>
      </c>
      <c r="I266">
        <v>14952</v>
      </c>
      <c r="J266">
        <v>4.5529999999999999</v>
      </c>
      <c r="K266">
        <v>2161331</v>
      </c>
      <c r="L266">
        <v>560665</v>
      </c>
      <c r="M266">
        <v>1600666</v>
      </c>
      <c r="N266">
        <v>3.45</v>
      </c>
      <c r="O266">
        <v>13.301</v>
      </c>
      <c r="P266">
        <v>1871393</v>
      </c>
      <c r="Q266">
        <v>509292</v>
      </c>
      <c r="R266">
        <v>1362101</v>
      </c>
      <c r="S266">
        <v>3.1339999999999999</v>
      </c>
      <c r="T266">
        <v>11.516999999999999</v>
      </c>
      <c r="U266">
        <v>289938</v>
      </c>
      <c r="V266">
        <v>1.784</v>
      </c>
      <c r="W266">
        <v>23.033999999999999</v>
      </c>
      <c r="X266">
        <v>769</v>
      </c>
      <c r="Y266">
        <v>3295</v>
      </c>
      <c r="Z266">
        <v>279364</v>
      </c>
    </row>
    <row r="267" spans="1:26" x14ac:dyDescent="0.25">
      <c r="A267">
        <v>2004</v>
      </c>
      <c r="B267" t="s">
        <v>59</v>
      </c>
      <c r="C267">
        <v>9275</v>
      </c>
      <c r="D267">
        <v>104319</v>
      </c>
      <c r="E267">
        <v>5664731</v>
      </c>
      <c r="F267">
        <v>5612219</v>
      </c>
      <c r="G267">
        <v>6886</v>
      </c>
      <c r="H267">
        <v>6.5830000000000002</v>
      </c>
      <c r="I267">
        <v>7468</v>
      </c>
      <c r="J267">
        <v>7.1390000000000002</v>
      </c>
      <c r="K267">
        <v>740338</v>
      </c>
      <c r="L267">
        <v>198003</v>
      </c>
      <c r="M267">
        <v>542335</v>
      </c>
      <c r="N267">
        <v>3.528</v>
      </c>
      <c r="O267">
        <v>13.192</v>
      </c>
      <c r="P267">
        <v>638489</v>
      </c>
      <c r="Q267">
        <v>188521</v>
      </c>
      <c r="R267">
        <v>449968</v>
      </c>
      <c r="S267">
        <v>3.359</v>
      </c>
      <c r="T267">
        <v>11.377000000000001</v>
      </c>
      <c r="U267">
        <v>101849</v>
      </c>
      <c r="V267">
        <v>1.8149999999999999</v>
      </c>
      <c r="W267">
        <v>22.754000000000001</v>
      </c>
      <c r="X267">
        <v>36</v>
      </c>
      <c r="Y267">
        <v>1092</v>
      </c>
      <c r="Z267">
        <v>47064</v>
      </c>
    </row>
    <row r="268" spans="1:26" x14ac:dyDescent="0.25">
      <c r="A268">
        <v>2004</v>
      </c>
      <c r="B268" t="s">
        <v>60</v>
      </c>
      <c r="C268">
        <v>5799</v>
      </c>
      <c r="D268">
        <v>132428</v>
      </c>
      <c r="E268">
        <v>7634560</v>
      </c>
      <c r="F268">
        <v>7568817</v>
      </c>
      <c r="G268">
        <v>13230</v>
      </c>
      <c r="H268">
        <v>10.225</v>
      </c>
      <c r="I268">
        <v>7157</v>
      </c>
      <c r="J268">
        <v>5.5309999999999997</v>
      </c>
      <c r="K268">
        <v>973111</v>
      </c>
      <c r="L268">
        <v>311745</v>
      </c>
      <c r="M268">
        <v>661366</v>
      </c>
      <c r="N268">
        <v>4.1189999999999998</v>
      </c>
      <c r="O268">
        <v>12.856999999999999</v>
      </c>
      <c r="P268">
        <v>842666</v>
      </c>
      <c r="Q268">
        <v>242731</v>
      </c>
      <c r="R268">
        <v>599935</v>
      </c>
      <c r="S268">
        <v>3.2069999999999999</v>
      </c>
      <c r="T268">
        <v>11.132999999999999</v>
      </c>
      <c r="U268">
        <v>130445</v>
      </c>
      <c r="V268">
        <v>1.7230000000000001</v>
      </c>
      <c r="W268">
        <v>22.266999999999999</v>
      </c>
      <c r="X268">
        <v>17</v>
      </c>
      <c r="Y268">
        <v>21</v>
      </c>
      <c r="Z268">
        <v>51163</v>
      </c>
    </row>
    <row r="269" spans="1:26" x14ac:dyDescent="0.25">
      <c r="A269">
        <v>2004</v>
      </c>
      <c r="B269" t="s">
        <v>61</v>
      </c>
      <c r="C269">
        <v>2340</v>
      </c>
      <c r="D269">
        <v>108287</v>
      </c>
      <c r="E269">
        <v>6072021</v>
      </c>
      <c r="F269">
        <v>6077599</v>
      </c>
      <c r="G269">
        <v>10645</v>
      </c>
      <c r="H269">
        <v>9.9380000000000006</v>
      </c>
      <c r="I269">
        <v>8306</v>
      </c>
      <c r="J269">
        <v>7.7539999999999996</v>
      </c>
      <c r="K269">
        <v>752137</v>
      </c>
      <c r="L269">
        <v>234636</v>
      </c>
      <c r="M269">
        <v>517501</v>
      </c>
      <c r="N269">
        <v>3.8610000000000002</v>
      </c>
      <c r="O269">
        <v>12.375999999999999</v>
      </c>
      <c r="P269">
        <v>765479</v>
      </c>
      <c r="Q269">
        <v>251960</v>
      </c>
      <c r="R269">
        <v>513519</v>
      </c>
      <c r="S269">
        <v>4.1459999999999999</v>
      </c>
      <c r="T269">
        <v>12.595000000000001</v>
      </c>
      <c r="U269">
        <v>-13342</v>
      </c>
      <c r="V269">
        <v>-0.22</v>
      </c>
      <c r="W269">
        <v>24.751000000000001</v>
      </c>
      <c r="X269">
        <v>7</v>
      </c>
      <c r="Y269">
        <v>723</v>
      </c>
      <c r="Z269">
        <v>46448</v>
      </c>
    </row>
    <row r="270" spans="1:26" x14ac:dyDescent="0.25">
      <c r="A270">
        <v>2004</v>
      </c>
      <c r="B270" t="s">
        <v>63</v>
      </c>
      <c r="C270">
        <v>1343</v>
      </c>
      <c r="D270">
        <v>118308</v>
      </c>
      <c r="E270">
        <v>6373329</v>
      </c>
      <c r="F270">
        <v>6358415</v>
      </c>
      <c r="G270">
        <v>12059</v>
      </c>
      <c r="H270">
        <v>10.345000000000001</v>
      </c>
      <c r="I270">
        <v>8578</v>
      </c>
      <c r="J270">
        <v>7.359</v>
      </c>
      <c r="K270">
        <v>875572</v>
      </c>
      <c r="L270">
        <v>262835</v>
      </c>
      <c r="M270">
        <v>612737</v>
      </c>
      <c r="N270">
        <v>4.1340000000000003</v>
      </c>
      <c r="O270">
        <v>13.77</v>
      </c>
      <c r="P270">
        <v>849267</v>
      </c>
      <c r="Q270">
        <v>300895</v>
      </c>
      <c r="R270">
        <v>548372</v>
      </c>
      <c r="S270">
        <v>4.7320000000000002</v>
      </c>
      <c r="T270">
        <v>13.356999999999999</v>
      </c>
      <c r="U270">
        <v>26305</v>
      </c>
      <c r="V270">
        <v>0.41399999999999998</v>
      </c>
      <c r="W270">
        <v>26.713000000000001</v>
      </c>
      <c r="X270">
        <v>0</v>
      </c>
      <c r="Y270">
        <v>0</v>
      </c>
      <c r="Z270">
        <v>0</v>
      </c>
    </row>
    <row r="271" spans="1:26" x14ac:dyDescent="0.25">
      <c r="A271">
        <v>2004</v>
      </c>
      <c r="B271" t="s">
        <v>64</v>
      </c>
      <c r="C271">
        <v>1178</v>
      </c>
      <c r="D271">
        <v>557380</v>
      </c>
      <c r="E271">
        <v>29608260</v>
      </c>
      <c r="F271">
        <v>29666884</v>
      </c>
      <c r="G271">
        <v>53614</v>
      </c>
      <c r="H271">
        <v>9.593</v>
      </c>
      <c r="I271">
        <v>56604</v>
      </c>
      <c r="J271">
        <v>10.128</v>
      </c>
      <c r="K271">
        <v>3815214</v>
      </c>
      <c r="L271">
        <v>1186213</v>
      </c>
      <c r="M271">
        <v>2629001</v>
      </c>
      <c r="N271">
        <v>3.9980000000000002</v>
      </c>
      <c r="O271">
        <v>12.86</v>
      </c>
      <c r="P271">
        <v>3956139</v>
      </c>
      <c r="Q271">
        <v>1361402</v>
      </c>
      <c r="R271">
        <v>2594737</v>
      </c>
      <c r="S271">
        <v>4.5890000000000004</v>
      </c>
      <c r="T271">
        <v>13.335000000000001</v>
      </c>
      <c r="U271">
        <v>-140925</v>
      </c>
      <c r="V271">
        <v>-0.47499999999999998</v>
      </c>
      <c r="W271">
        <v>25.72</v>
      </c>
      <c r="X271">
        <v>0</v>
      </c>
      <c r="Y271">
        <v>0</v>
      </c>
      <c r="Z271">
        <v>0</v>
      </c>
    </row>
    <row r="272" spans="1:26" x14ac:dyDescent="0.25">
      <c r="A272">
        <v>2005</v>
      </c>
      <c r="B272" t="s">
        <v>54</v>
      </c>
      <c r="C272">
        <v>2988381</v>
      </c>
      <c r="D272">
        <v>2993332</v>
      </c>
      <c r="E272">
        <v>6892578</v>
      </c>
      <c r="F272">
        <v>6836715</v>
      </c>
      <c r="G272">
        <v>568459</v>
      </c>
      <c r="H272">
        <v>19.236999999999998</v>
      </c>
      <c r="I272">
        <v>491980</v>
      </c>
      <c r="J272">
        <v>16.649000000000001</v>
      </c>
      <c r="K272">
        <v>2120406</v>
      </c>
      <c r="L272">
        <v>1391639</v>
      </c>
      <c r="M272">
        <v>728767</v>
      </c>
      <c r="N272">
        <v>20.355</v>
      </c>
      <c r="O272">
        <v>31.015000000000001</v>
      </c>
      <c r="P272">
        <v>2010725</v>
      </c>
      <c r="Q272">
        <v>1195207</v>
      </c>
      <c r="R272">
        <v>815518</v>
      </c>
      <c r="S272">
        <v>17.481999999999999</v>
      </c>
      <c r="T272">
        <v>29.411000000000001</v>
      </c>
      <c r="U272">
        <v>109681</v>
      </c>
      <c r="V272">
        <v>1.6040000000000001</v>
      </c>
      <c r="W272">
        <v>58.820999999999998</v>
      </c>
      <c r="X272">
        <v>379448</v>
      </c>
      <c r="Y272">
        <v>381086</v>
      </c>
      <c r="Z272">
        <v>957396</v>
      </c>
    </row>
    <row r="273" spans="1:26" x14ac:dyDescent="0.25">
      <c r="A273">
        <v>2005</v>
      </c>
      <c r="B273" t="s">
        <v>55</v>
      </c>
      <c r="C273">
        <v>982151</v>
      </c>
      <c r="D273">
        <v>996088</v>
      </c>
      <c r="E273">
        <v>6897134</v>
      </c>
      <c r="F273">
        <v>6893782</v>
      </c>
      <c r="G273">
        <v>40116</v>
      </c>
      <c r="H273">
        <v>4.0359999999999996</v>
      </c>
      <c r="I273">
        <v>36031</v>
      </c>
      <c r="J273">
        <v>3.625</v>
      </c>
      <c r="K273">
        <v>1339275</v>
      </c>
      <c r="L273">
        <v>511929</v>
      </c>
      <c r="M273">
        <v>827346</v>
      </c>
      <c r="N273">
        <v>7.4260000000000002</v>
      </c>
      <c r="O273">
        <v>19.427</v>
      </c>
      <c r="P273">
        <v>1331108</v>
      </c>
      <c r="Q273">
        <v>453354</v>
      </c>
      <c r="R273">
        <v>877754</v>
      </c>
      <c r="S273">
        <v>6.5759999999999996</v>
      </c>
      <c r="T273">
        <v>19.309000000000001</v>
      </c>
      <c r="U273">
        <v>8167</v>
      </c>
      <c r="V273">
        <v>0.11799999999999999</v>
      </c>
      <c r="W273">
        <v>38.618000000000002</v>
      </c>
      <c r="X273">
        <v>29231</v>
      </c>
      <c r="Y273">
        <v>30797</v>
      </c>
      <c r="Z273">
        <v>389413</v>
      </c>
    </row>
    <row r="274" spans="1:26" x14ac:dyDescent="0.25">
      <c r="A274">
        <v>2005</v>
      </c>
      <c r="B274" t="s">
        <v>56</v>
      </c>
      <c r="C274">
        <v>597391</v>
      </c>
      <c r="D274">
        <v>632743</v>
      </c>
      <c r="E274">
        <v>8344954</v>
      </c>
      <c r="F274">
        <v>8360873</v>
      </c>
      <c r="G274">
        <v>19794</v>
      </c>
      <c r="H274">
        <v>3.1320000000000001</v>
      </c>
      <c r="I274">
        <v>18125</v>
      </c>
      <c r="J274">
        <v>2.8679999999999999</v>
      </c>
      <c r="K274">
        <v>1393144</v>
      </c>
      <c r="L274">
        <v>462448</v>
      </c>
      <c r="M274">
        <v>930696</v>
      </c>
      <c r="N274">
        <v>5.5309999999999997</v>
      </c>
      <c r="O274">
        <v>16.663</v>
      </c>
      <c r="P274">
        <v>1423956</v>
      </c>
      <c r="Q274">
        <v>416581</v>
      </c>
      <c r="R274">
        <v>1007375</v>
      </c>
      <c r="S274">
        <v>4.9829999999999997</v>
      </c>
      <c r="T274">
        <v>17.030999999999999</v>
      </c>
      <c r="U274">
        <v>-30812</v>
      </c>
      <c r="V274">
        <v>-0.36899999999999999</v>
      </c>
      <c r="W274">
        <v>33.325000000000003</v>
      </c>
      <c r="X274">
        <v>13298</v>
      </c>
      <c r="Y274">
        <v>15086</v>
      </c>
      <c r="Z274">
        <v>358671</v>
      </c>
    </row>
    <row r="275" spans="1:26" x14ac:dyDescent="0.25">
      <c r="A275">
        <v>2005</v>
      </c>
      <c r="B275" t="s">
        <v>57</v>
      </c>
      <c r="C275">
        <v>503021</v>
      </c>
      <c r="D275">
        <v>675382</v>
      </c>
      <c r="E275">
        <v>20211394</v>
      </c>
      <c r="F275">
        <v>20130558</v>
      </c>
      <c r="G275">
        <v>23204</v>
      </c>
      <c r="H275">
        <v>3.4489999999999998</v>
      </c>
      <c r="I275">
        <v>17912</v>
      </c>
      <c r="J275">
        <v>2.6629999999999998</v>
      </c>
      <c r="K275">
        <v>2881815</v>
      </c>
      <c r="L275">
        <v>827140</v>
      </c>
      <c r="M275">
        <v>2054675</v>
      </c>
      <c r="N275">
        <v>4.109</v>
      </c>
      <c r="O275">
        <v>14.316000000000001</v>
      </c>
      <c r="P275">
        <v>2717506</v>
      </c>
      <c r="Q275">
        <v>698372</v>
      </c>
      <c r="R275">
        <v>2019134</v>
      </c>
      <c r="S275">
        <v>3.4689999999999999</v>
      </c>
      <c r="T275">
        <v>13.499000000000001</v>
      </c>
      <c r="U275">
        <v>164309</v>
      </c>
      <c r="V275">
        <v>0.81599999999999995</v>
      </c>
      <c r="W275">
        <v>26.998999999999999</v>
      </c>
      <c r="X275">
        <v>7727</v>
      </c>
      <c r="Y275">
        <v>11604</v>
      </c>
      <c r="Z275">
        <v>567836</v>
      </c>
    </row>
    <row r="276" spans="1:26" x14ac:dyDescent="0.25">
      <c r="A276">
        <v>2005</v>
      </c>
      <c r="B276" t="s">
        <v>58</v>
      </c>
      <c r="C276">
        <v>85722</v>
      </c>
      <c r="D276">
        <v>334544</v>
      </c>
      <c r="E276">
        <v>16704565</v>
      </c>
      <c r="F276">
        <v>16450911</v>
      </c>
      <c r="G276">
        <v>22176</v>
      </c>
      <c r="H276">
        <v>6.7270000000000003</v>
      </c>
      <c r="I276">
        <v>12353</v>
      </c>
      <c r="J276">
        <v>3.7480000000000002</v>
      </c>
      <c r="K276">
        <v>2304684</v>
      </c>
      <c r="L276">
        <v>636388</v>
      </c>
      <c r="M276">
        <v>1668296</v>
      </c>
      <c r="N276">
        <v>3.8679999999999999</v>
      </c>
      <c r="O276">
        <v>14.009</v>
      </c>
      <c r="P276">
        <v>1800382</v>
      </c>
      <c r="Q276">
        <v>441907</v>
      </c>
      <c r="R276">
        <v>1358475</v>
      </c>
      <c r="S276">
        <v>2.6859999999999999</v>
      </c>
      <c r="T276">
        <v>10.944000000000001</v>
      </c>
      <c r="U276">
        <v>504302</v>
      </c>
      <c r="V276">
        <v>3.0649999999999999</v>
      </c>
      <c r="W276">
        <v>21.888000000000002</v>
      </c>
      <c r="X276">
        <v>661</v>
      </c>
      <c r="Y276">
        <v>1810</v>
      </c>
      <c r="Z276">
        <v>230820</v>
      </c>
    </row>
    <row r="277" spans="1:26" x14ac:dyDescent="0.25">
      <c r="A277">
        <v>2005</v>
      </c>
      <c r="B277" t="s">
        <v>59</v>
      </c>
      <c r="C277">
        <v>9497</v>
      </c>
      <c r="D277">
        <v>110214</v>
      </c>
      <c r="E277">
        <v>5888570</v>
      </c>
      <c r="F277">
        <v>5782787</v>
      </c>
      <c r="G277">
        <v>10183</v>
      </c>
      <c r="H277">
        <v>9.3550000000000004</v>
      </c>
      <c r="I277">
        <v>7450</v>
      </c>
      <c r="J277">
        <v>6.8440000000000003</v>
      </c>
      <c r="K277">
        <v>859734</v>
      </c>
      <c r="L277">
        <v>282687</v>
      </c>
      <c r="M277">
        <v>577047</v>
      </c>
      <c r="N277">
        <v>4.8879999999999999</v>
      </c>
      <c r="O277">
        <v>14.867000000000001</v>
      </c>
      <c r="P277">
        <v>648800</v>
      </c>
      <c r="Q277">
        <v>170315</v>
      </c>
      <c r="R277">
        <v>478485</v>
      </c>
      <c r="S277">
        <v>2.9449999999999998</v>
      </c>
      <c r="T277">
        <v>11.22</v>
      </c>
      <c r="U277">
        <v>210934</v>
      </c>
      <c r="V277">
        <v>3.6480000000000001</v>
      </c>
      <c r="W277">
        <v>22.439</v>
      </c>
      <c r="X277">
        <v>40</v>
      </c>
      <c r="Y277">
        <v>1101</v>
      </c>
      <c r="Z277">
        <v>54873</v>
      </c>
    </row>
    <row r="278" spans="1:26" x14ac:dyDescent="0.25">
      <c r="A278">
        <v>2005</v>
      </c>
      <c r="B278" t="s">
        <v>60</v>
      </c>
      <c r="C278">
        <v>5883</v>
      </c>
      <c r="D278">
        <v>125933</v>
      </c>
      <c r="E278">
        <v>7771311</v>
      </c>
      <c r="F278">
        <v>7689621</v>
      </c>
      <c r="G278">
        <v>10905</v>
      </c>
      <c r="H278">
        <v>8.7390000000000008</v>
      </c>
      <c r="I278">
        <v>8599</v>
      </c>
      <c r="J278">
        <v>6.891</v>
      </c>
      <c r="K278">
        <v>1013851</v>
      </c>
      <c r="L278">
        <v>335899</v>
      </c>
      <c r="M278">
        <v>677952</v>
      </c>
      <c r="N278">
        <v>4.3680000000000003</v>
      </c>
      <c r="O278">
        <v>13.185</v>
      </c>
      <c r="P278">
        <v>849436</v>
      </c>
      <c r="Q278">
        <v>244380</v>
      </c>
      <c r="R278">
        <v>605056</v>
      </c>
      <c r="S278">
        <v>3.1779999999999999</v>
      </c>
      <c r="T278">
        <v>11.047000000000001</v>
      </c>
      <c r="U278">
        <v>164415</v>
      </c>
      <c r="V278">
        <v>2.1379999999999999</v>
      </c>
      <c r="W278">
        <v>22.093</v>
      </c>
      <c r="X278">
        <v>16</v>
      </c>
      <c r="Y278">
        <v>221</v>
      </c>
      <c r="Z278">
        <v>47529</v>
      </c>
    </row>
    <row r="279" spans="1:26" x14ac:dyDescent="0.25">
      <c r="A279">
        <v>2005</v>
      </c>
      <c r="B279" t="s">
        <v>61</v>
      </c>
      <c r="C279">
        <v>2335</v>
      </c>
      <c r="D279">
        <v>109365</v>
      </c>
      <c r="E279">
        <v>6179501</v>
      </c>
      <c r="F279">
        <v>6105895</v>
      </c>
      <c r="G279">
        <v>9941</v>
      </c>
      <c r="H279">
        <v>9.202</v>
      </c>
      <c r="I279">
        <v>7283</v>
      </c>
      <c r="J279">
        <v>6.7409999999999997</v>
      </c>
      <c r="K279">
        <v>794692</v>
      </c>
      <c r="L279">
        <v>249956</v>
      </c>
      <c r="M279">
        <v>544736</v>
      </c>
      <c r="N279">
        <v>4.0940000000000003</v>
      </c>
      <c r="O279">
        <v>13.015000000000001</v>
      </c>
      <c r="P279">
        <v>644936</v>
      </c>
      <c r="Q279">
        <v>203532</v>
      </c>
      <c r="R279">
        <v>441404</v>
      </c>
      <c r="S279">
        <v>3.3330000000000002</v>
      </c>
      <c r="T279">
        <v>10.563000000000001</v>
      </c>
      <c r="U279">
        <v>149756</v>
      </c>
      <c r="V279">
        <v>2.4529999999999998</v>
      </c>
      <c r="W279">
        <v>21.125</v>
      </c>
      <c r="X279" t="s">
        <v>62</v>
      </c>
      <c r="Y279" t="s">
        <v>62</v>
      </c>
      <c r="Z279" t="s">
        <v>62</v>
      </c>
    </row>
    <row r="280" spans="1:26" x14ac:dyDescent="0.25">
      <c r="A280">
        <v>2005</v>
      </c>
      <c r="B280" t="s">
        <v>63</v>
      </c>
      <c r="C280">
        <v>1325</v>
      </c>
      <c r="D280">
        <v>121872</v>
      </c>
      <c r="E280">
        <v>6277188</v>
      </c>
      <c r="F280">
        <v>6250747</v>
      </c>
      <c r="G280">
        <v>10100</v>
      </c>
      <c r="H280">
        <v>8.3729999999999993</v>
      </c>
      <c r="I280">
        <v>7617</v>
      </c>
      <c r="J280">
        <v>6.3140000000000001</v>
      </c>
      <c r="K280">
        <v>763494</v>
      </c>
      <c r="L280">
        <v>252995</v>
      </c>
      <c r="M280">
        <v>510499</v>
      </c>
      <c r="N280">
        <v>4.0469999999999997</v>
      </c>
      <c r="O280">
        <v>12.214</v>
      </c>
      <c r="P280">
        <v>712275</v>
      </c>
      <c r="Q280">
        <v>207684</v>
      </c>
      <c r="R280">
        <v>504591</v>
      </c>
      <c r="S280">
        <v>3.323</v>
      </c>
      <c r="T280">
        <v>11.395</v>
      </c>
      <c r="U280">
        <v>51219</v>
      </c>
      <c r="V280">
        <v>0.81899999999999995</v>
      </c>
      <c r="W280">
        <v>22.79</v>
      </c>
      <c r="X280" t="s">
        <v>62</v>
      </c>
      <c r="Y280" t="s">
        <v>62</v>
      </c>
      <c r="Z280" t="s">
        <v>62</v>
      </c>
    </row>
    <row r="281" spans="1:26" x14ac:dyDescent="0.25">
      <c r="A281">
        <v>2005</v>
      </c>
      <c r="B281" t="s">
        <v>64</v>
      </c>
      <c r="C281">
        <v>1199</v>
      </c>
      <c r="D281">
        <v>575913</v>
      </c>
      <c r="E281">
        <v>30254991</v>
      </c>
      <c r="F281">
        <v>30310509</v>
      </c>
      <c r="G281">
        <v>54164</v>
      </c>
      <c r="H281">
        <v>9.4109999999999996</v>
      </c>
      <c r="I281">
        <v>53438</v>
      </c>
      <c r="J281">
        <v>9.2850000000000001</v>
      </c>
      <c r="K281">
        <v>3531146</v>
      </c>
      <c r="L281">
        <v>1183420</v>
      </c>
      <c r="M281">
        <v>2347726</v>
      </c>
      <c r="N281">
        <v>3.9039999999999999</v>
      </c>
      <c r="O281">
        <v>11.65</v>
      </c>
      <c r="P281">
        <v>3638612</v>
      </c>
      <c r="Q281">
        <v>1139710</v>
      </c>
      <c r="R281">
        <v>2498902</v>
      </c>
      <c r="S281">
        <v>3.76</v>
      </c>
      <c r="T281">
        <v>12.004</v>
      </c>
      <c r="U281">
        <v>-107466</v>
      </c>
      <c r="V281">
        <v>-0.35499999999999998</v>
      </c>
      <c r="W281">
        <v>23.3</v>
      </c>
      <c r="X281">
        <v>0</v>
      </c>
      <c r="Y281">
        <v>0</v>
      </c>
      <c r="Z281">
        <v>0</v>
      </c>
    </row>
    <row r="282" spans="1:26" x14ac:dyDescent="0.25">
      <c r="A282">
        <v>2006</v>
      </c>
      <c r="B282" t="s">
        <v>54</v>
      </c>
      <c r="C282">
        <v>3050725</v>
      </c>
      <c r="D282">
        <v>3056031</v>
      </c>
      <c r="E282">
        <v>7045381</v>
      </c>
      <c r="F282">
        <v>6917345</v>
      </c>
      <c r="G282">
        <v>601359</v>
      </c>
      <c r="H282">
        <v>19.940000000000001</v>
      </c>
      <c r="I282">
        <v>520879</v>
      </c>
      <c r="J282">
        <v>17.271999999999998</v>
      </c>
      <c r="K282">
        <v>2202424</v>
      </c>
      <c r="L282">
        <v>1452306</v>
      </c>
      <c r="M282">
        <v>750118</v>
      </c>
      <c r="N282">
        <v>20.995000000000001</v>
      </c>
      <c r="O282">
        <v>31.838999999999999</v>
      </c>
      <c r="P282">
        <v>1944348</v>
      </c>
      <c r="Q282">
        <v>1223236</v>
      </c>
      <c r="R282">
        <v>721112</v>
      </c>
      <c r="S282">
        <v>17.684000000000001</v>
      </c>
      <c r="T282">
        <v>28.108000000000001</v>
      </c>
      <c r="U282">
        <v>258076</v>
      </c>
      <c r="V282">
        <v>3.7309999999999999</v>
      </c>
      <c r="W282">
        <v>56.216999999999999</v>
      </c>
      <c r="X282">
        <v>410368</v>
      </c>
      <c r="Y282">
        <v>412054</v>
      </c>
      <c r="Z282">
        <v>1000728</v>
      </c>
    </row>
    <row r="283" spans="1:26" x14ac:dyDescent="0.25">
      <c r="A283">
        <v>2006</v>
      </c>
      <c r="B283" t="s">
        <v>55</v>
      </c>
      <c r="C283">
        <v>997285</v>
      </c>
      <c r="D283">
        <v>1012223</v>
      </c>
      <c r="E283">
        <v>7106339</v>
      </c>
      <c r="F283">
        <v>6977780</v>
      </c>
      <c r="G283">
        <v>43726</v>
      </c>
      <c r="H283">
        <v>4.3390000000000004</v>
      </c>
      <c r="I283">
        <v>34786</v>
      </c>
      <c r="J283">
        <v>3.452</v>
      </c>
      <c r="K283">
        <v>1458370</v>
      </c>
      <c r="L283">
        <v>547101</v>
      </c>
      <c r="M283">
        <v>911269</v>
      </c>
      <c r="N283">
        <v>7.8410000000000002</v>
      </c>
      <c r="O283">
        <v>20.9</v>
      </c>
      <c r="P283">
        <v>1202332</v>
      </c>
      <c r="Q283">
        <v>439765</v>
      </c>
      <c r="R283">
        <v>762567</v>
      </c>
      <c r="S283">
        <v>6.3019999999999996</v>
      </c>
      <c r="T283">
        <v>17.231000000000002</v>
      </c>
      <c r="U283">
        <v>256038</v>
      </c>
      <c r="V283">
        <v>3.669</v>
      </c>
      <c r="W283">
        <v>34.462000000000003</v>
      </c>
      <c r="X283">
        <v>29014</v>
      </c>
      <c r="Y283">
        <v>30298</v>
      </c>
      <c r="Z283">
        <v>385596</v>
      </c>
    </row>
    <row r="284" spans="1:26" x14ac:dyDescent="0.25">
      <c r="A284">
        <v>2006</v>
      </c>
      <c r="B284" t="s">
        <v>56</v>
      </c>
      <c r="C284">
        <v>604621</v>
      </c>
      <c r="D284">
        <v>642447</v>
      </c>
      <c r="E284">
        <v>8591274</v>
      </c>
      <c r="F284">
        <v>8428096</v>
      </c>
      <c r="G284">
        <v>25306</v>
      </c>
      <c r="H284">
        <v>3.9630000000000001</v>
      </c>
      <c r="I284">
        <v>17451</v>
      </c>
      <c r="J284">
        <v>2.7330000000000001</v>
      </c>
      <c r="K284">
        <v>1546127</v>
      </c>
      <c r="L284">
        <v>517171</v>
      </c>
      <c r="M284">
        <v>1028956</v>
      </c>
      <c r="N284">
        <v>6.1360000000000001</v>
      </c>
      <c r="O284">
        <v>18.344999999999999</v>
      </c>
      <c r="P284">
        <v>1218224</v>
      </c>
      <c r="Q284">
        <v>401001</v>
      </c>
      <c r="R284">
        <v>817223</v>
      </c>
      <c r="S284">
        <v>4.758</v>
      </c>
      <c r="T284">
        <v>14.454000000000001</v>
      </c>
      <c r="U284">
        <v>327903</v>
      </c>
      <c r="V284">
        <v>3.891</v>
      </c>
      <c r="W284">
        <v>28.908999999999999</v>
      </c>
      <c r="X284">
        <v>12905</v>
      </c>
      <c r="Y284">
        <v>14494</v>
      </c>
      <c r="Z284">
        <v>346927</v>
      </c>
    </row>
    <row r="285" spans="1:26" x14ac:dyDescent="0.25">
      <c r="A285">
        <v>2006</v>
      </c>
      <c r="B285" t="s">
        <v>57</v>
      </c>
      <c r="C285">
        <v>509304</v>
      </c>
      <c r="D285">
        <v>691777</v>
      </c>
      <c r="E285">
        <v>20850289</v>
      </c>
      <c r="F285">
        <v>20419075</v>
      </c>
      <c r="G285">
        <v>36479</v>
      </c>
      <c r="H285">
        <v>5.3479999999999999</v>
      </c>
      <c r="I285">
        <v>17234</v>
      </c>
      <c r="J285">
        <v>2.5259999999999998</v>
      </c>
      <c r="K285">
        <v>3307421</v>
      </c>
      <c r="L285">
        <v>1032530</v>
      </c>
      <c r="M285">
        <v>2274891</v>
      </c>
      <c r="N285">
        <v>5.0570000000000004</v>
      </c>
      <c r="O285">
        <v>16.198</v>
      </c>
      <c r="P285">
        <v>2443719</v>
      </c>
      <c r="Q285">
        <v>690106</v>
      </c>
      <c r="R285">
        <v>1753613</v>
      </c>
      <c r="S285">
        <v>3.38</v>
      </c>
      <c r="T285">
        <v>11.968</v>
      </c>
      <c r="U285">
        <v>863702</v>
      </c>
      <c r="V285">
        <v>4.2300000000000004</v>
      </c>
      <c r="W285">
        <v>23.936</v>
      </c>
      <c r="X285">
        <v>7525</v>
      </c>
      <c r="Y285">
        <v>10650</v>
      </c>
      <c r="Z285">
        <v>558069</v>
      </c>
    </row>
    <row r="286" spans="1:26" x14ac:dyDescent="0.25">
      <c r="A286">
        <v>2006</v>
      </c>
      <c r="B286" t="s">
        <v>58</v>
      </c>
      <c r="C286">
        <v>87683</v>
      </c>
      <c r="D286">
        <v>346638</v>
      </c>
      <c r="E286">
        <v>17143942</v>
      </c>
      <c r="F286">
        <v>16833563</v>
      </c>
      <c r="G286">
        <v>27948</v>
      </c>
      <c r="H286">
        <v>8.2390000000000008</v>
      </c>
      <c r="I286">
        <v>13073</v>
      </c>
      <c r="J286">
        <v>3.8540000000000001</v>
      </c>
      <c r="K286">
        <v>2496228</v>
      </c>
      <c r="L286">
        <v>772847</v>
      </c>
      <c r="M286">
        <v>1723381</v>
      </c>
      <c r="N286">
        <v>4.5910000000000002</v>
      </c>
      <c r="O286">
        <v>14.829000000000001</v>
      </c>
      <c r="P286">
        <v>1874395</v>
      </c>
      <c r="Q286">
        <v>443921</v>
      </c>
      <c r="R286">
        <v>1430474</v>
      </c>
      <c r="S286">
        <v>2.637</v>
      </c>
      <c r="T286">
        <v>11.135</v>
      </c>
      <c r="U286">
        <v>621833</v>
      </c>
      <c r="V286">
        <v>3.694</v>
      </c>
      <c r="W286">
        <v>22.27</v>
      </c>
      <c r="X286">
        <v>629</v>
      </c>
      <c r="Y286">
        <v>2377</v>
      </c>
      <c r="Z286">
        <v>224710</v>
      </c>
    </row>
    <row r="287" spans="1:26" x14ac:dyDescent="0.25">
      <c r="A287">
        <v>2006</v>
      </c>
      <c r="B287" t="s">
        <v>59</v>
      </c>
      <c r="C287">
        <v>9842</v>
      </c>
      <c r="D287">
        <v>110303</v>
      </c>
      <c r="E287">
        <v>6081029</v>
      </c>
      <c r="F287">
        <v>5977512</v>
      </c>
      <c r="G287">
        <v>9628</v>
      </c>
      <c r="H287">
        <v>8.8719999999999999</v>
      </c>
      <c r="I287">
        <v>6053</v>
      </c>
      <c r="J287">
        <v>5.5780000000000003</v>
      </c>
      <c r="K287">
        <v>844707</v>
      </c>
      <c r="L287">
        <v>232553</v>
      </c>
      <c r="M287">
        <v>612154</v>
      </c>
      <c r="N287">
        <v>3.89</v>
      </c>
      <c r="O287">
        <v>14.131</v>
      </c>
      <c r="P287">
        <v>639035</v>
      </c>
      <c r="Q287">
        <v>154220</v>
      </c>
      <c r="R287">
        <v>484815</v>
      </c>
      <c r="S287">
        <v>2.58</v>
      </c>
      <c r="T287">
        <v>10.691000000000001</v>
      </c>
      <c r="U287">
        <v>205672</v>
      </c>
      <c r="V287">
        <v>3.4409999999999998</v>
      </c>
      <c r="W287">
        <v>21.381</v>
      </c>
      <c r="X287">
        <v>32</v>
      </c>
      <c r="Y287">
        <v>881</v>
      </c>
      <c r="Z287">
        <v>46388</v>
      </c>
    </row>
    <row r="288" spans="1:26" x14ac:dyDescent="0.25">
      <c r="A288">
        <v>2006</v>
      </c>
      <c r="B288" t="s">
        <v>60</v>
      </c>
      <c r="C288">
        <v>6004</v>
      </c>
      <c r="D288">
        <v>136487</v>
      </c>
      <c r="E288">
        <v>8043834</v>
      </c>
      <c r="F288">
        <v>7884847</v>
      </c>
      <c r="G288">
        <v>13965</v>
      </c>
      <c r="H288">
        <v>10.478</v>
      </c>
      <c r="I288">
        <v>7551</v>
      </c>
      <c r="J288">
        <v>5.6660000000000004</v>
      </c>
      <c r="K288">
        <v>1081540</v>
      </c>
      <c r="L288">
        <v>331961</v>
      </c>
      <c r="M288">
        <v>749579</v>
      </c>
      <c r="N288">
        <v>4.21</v>
      </c>
      <c r="O288">
        <v>13.717000000000001</v>
      </c>
      <c r="P288">
        <v>763386</v>
      </c>
      <c r="Q288">
        <v>191756</v>
      </c>
      <c r="R288">
        <v>571630</v>
      </c>
      <c r="S288">
        <v>2.4319999999999999</v>
      </c>
      <c r="T288">
        <v>9.6820000000000004</v>
      </c>
      <c r="U288">
        <v>318154</v>
      </c>
      <c r="V288">
        <v>4.0350000000000001</v>
      </c>
      <c r="W288">
        <v>19.363</v>
      </c>
      <c r="X288">
        <v>9</v>
      </c>
      <c r="Y288">
        <v>171</v>
      </c>
      <c r="Z288">
        <v>30019</v>
      </c>
    </row>
    <row r="289" spans="1:26" x14ac:dyDescent="0.25">
      <c r="A289">
        <v>2006</v>
      </c>
      <c r="B289" t="s">
        <v>61</v>
      </c>
      <c r="C289">
        <v>2394</v>
      </c>
      <c r="D289">
        <v>108344</v>
      </c>
      <c r="E289">
        <v>6345767</v>
      </c>
      <c r="F289">
        <v>6271973</v>
      </c>
      <c r="G289">
        <v>9858</v>
      </c>
      <c r="H289">
        <v>9.2420000000000009</v>
      </c>
      <c r="I289">
        <v>6506</v>
      </c>
      <c r="J289">
        <v>6.0990000000000002</v>
      </c>
      <c r="K289">
        <v>783145</v>
      </c>
      <c r="L289">
        <v>258360</v>
      </c>
      <c r="M289">
        <v>524785</v>
      </c>
      <c r="N289">
        <v>4.1189999999999998</v>
      </c>
      <c r="O289">
        <v>12.486000000000001</v>
      </c>
      <c r="P289">
        <v>633835</v>
      </c>
      <c r="Q289">
        <v>156184</v>
      </c>
      <c r="R289">
        <v>477651</v>
      </c>
      <c r="S289">
        <v>2.4900000000000002</v>
      </c>
      <c r="T289">
        <v>10.106</v>
      </c>
      <c r="U289">
        <v>149310</v>
      </c>
      <c r="V289">
        <v>2.3809999999999998</v>
      </c>
      <c r="W289">
        <v>20.212</v>
      </c>
      <c r="X289" t="s">
        <v>62</v>
      </c>
      <c r="Y289" t="s">
        <v>62</v>
      </c>
      <c r="Z289" t="s">
        <v>62</v>
      </c>
    </row>
    <row r="290" spans="1:26" x14ac:dyDescent="0.25">
      <c r="A290">
        <v>2006</v>
      </c>
      <c r="B290" t="s">
        <v>63</v>
      </c>
      <c r="C290">
        <v>1362</v>
      </c>
      <c r="D290">
        <v>124674</v>
      </c>
      <c r="E290">
        <v>6664273</v>
      </c>
      <c r="F290">
        <v>6549214</v>
      </c>
      <c r="G290">
        <v>14256</v>
      </c>
      <c r="H290">
        <v>11.736000000000001</v>
      </c>
      <c r="I290">
        <v>7845</v>
      </c>
      <c r="J290">
        <v>6.4580000000000002</v>
      </c>
      <c r="K290">
        <v>945968</v>
      </c>
      <c r="L290">
        <v>300429</v>
      </c>
      <c r="M290">
        <v>645539</v>
      </c>
      <c r="N290">
        <v>4.5869999999999997</v>
      </c>
      <c r="O290">
        <v>14.444000000000001</v>
      </c>
      <c r="P290">
        <v>719835</v>
      </c>
      <c r="Q290">
        <v>228837</v>
      </c>
      <c r="R290">
        <v>490998</v>
      </c>
      <c r="S290">
        <v>3.4940000000000002</v>
      </c>
      <c r="T290">
        <v>10.991</v>
      </c>
      <c r="U290">
        <v>226133</v>
      </c>
      <c r="V290">
        <v>3.4529999999999998</v>
      </c>
      <c r="W290">
        <v>21.981999999999999</v>
      </c>
      <c r="X290" t="s">
        <v>62</v>
      </c>
      <c r="Y290" t="s">
        <v>62</v>
      </c>
      <c r="Z290" t="s">
        <v>62</v>
      </c>
    </row>
    <row r="291" spans="1:26" x14ac:dyDescent="0.25">
      <c r="A291">
        <v>2006</v>
      </c>
      <c r="B291" t="s">
        <v>64</v>
      </c>
      <c r="C291">
        <v>1176</v>
      </c>
      <c r="D291">
        <v>609789</v>
      </c>
      <c r="E291">
        <v>31381524</v>
      </c>
      <c r="F291">
        <v>31155888</v>
      </c>
      <c r="G291">
        <v>61749</v>
      </c>
      <c r="H291">
        <v>10.231</v>
      </c>
      <c r="I291">
        <v>49222</v>
      </c>
      <c r="J291">
        <v>8.1560000000000006</v>
      </c>
      <c r="K291">
        <v>4031735</v>
      </c>
      <c r="L291">
        <v>1397331</v>
      </c>
      <c r="M291">
        <v>2634404</v>
      </c>
      <c r="N291">
        <v>4.4850000000000003</v>
      </c>
      <c r="O291">
        <v>12.941000000000001</v>
      </c>
      <c r="P291">
        <v>3600930</v>
      </c>
      <c r="Q291">
        <v>1085214</v>
      </c>
      <c r="R291">
        <v>2515716</v>
      </c>
      <c r="S291">
        <v>3.4830000000000001</v>
      </c>
      <c r="T291">
        <v>11.558</v>
      </c>
      <c r="U291">
        <v>430805</v>
      </c>
      <c r="V291">
        <v>1.383</v>
      </c>
      <c r="W291">
        <v>23.116</v>
      </c>
      <c r="X291">
        <v>0</v>
      </c>
      <c r="Y291">
        <v>0</v>
      </c>
      <c r="Z291">
        <v>0</v>
      </c>
    </row>
    <row r="292" spans="1:26" x14ac:dyDescent="0.25">
      <c r="A292">
        <v>2007</v>
      </c>
      <c r="B292" t="s">
        <v>54</v>
      </c>
      <c r="C292">
        <v>3072931</v>
      </c>
      <c r="D292">
        <v>3077430</v>
      </c>
      <c r="E292">
        <v>6971060</v>
      </c>
      <c r="F292">
        <v>6954443</v>
      </c>
      <c r="G292">
        <v>570151</v>
      </c>
      <c r="H292">
        <v>18.667000000000002</v>
      </c>
      <c r="I292">
        <v>523967</v>
      </c>
      <c r="J292">
        <v>17.155000000000001</v>
      </c>
      <c r="K292">
        <v>2072912</v>
      </c>
      <c r="L292">
        <v>1357329</v>
      </c>
      <c r="M292">
        <v>715583</v>
      </c>
      <c r="N292">
        <v>19.516999999999999</v>
      </c>
      <c r="O292">
        <v>29.806999999999999</v>
      </c>
      <c r="P292">
        <v>2044513</v>
      </c>
      <c r="Q292">
        <v>1234516</v>
      </c>
      <c r="R292">
        <v>809997</v>
      </c>
      <c r="S292">
        <v>17.751000000000001</v>
      </c>
      <c r="T292">
        <v>29.399000000000001</v>
      </c>
      <c r="U292">
        <v>28399</v>
      </c>
      <c r="V292">
        <v>0.40799999999999997</v>
      </c>
      <c r="W292">
        <v>58.796999999999997</v>
      </c>
      <c r="X292">
        <v>413424</v>
      </c>
      <c r="Y292">
        <v>415157</v>
      </c>
      <c r="Z292">
        <v>1008795</v>
      </c>
    </row>
    <row r="293" spans="1:26" x14ac:dyDescent="0.25">
      <c r="A293">
        <v>2007</v>
      </c>
      <c r="B293" t="s">
        <v>55</v>
      </c>
      <c r="C293">
        <v>1004513</v>
      </c>
      <c r="D293">
        <v>1017759</v>
      </c>
      <c r="E293">
        <v>7047592</v>
      </c>
      <c r="F293">
        <v>7041480</v>
      </c>
      <c r="G293">
        <v>42789</v>
      </c>
      <c r="H293">
        <v>4.2080000000000002</v>
      </c>
      <c r="I293">
        <v>41088</v>
      </c>
      <c r="J293">
        <v>4.04</v>
      </c>
      <c r="K293">
        <v>1376689</v>
      </c>
      <c r="L293">
        <v>519766</v>
      </c>
      <c r="M293">
        <v>856923</v>
      </c>
      <c r="N293">
        <v>7.3810000000000002</v>
      </c>
      <c r="O293">
        <v>19.550999999999998</v>
      </c>
      <c r="P293">
        <v>1364411</v>
      </c>
      <c r="Q293">
        <v>486501</v>
      </c>
      <c r="R293">
        <v>877910</v>
      </c>
      <c r="S293">
        <v>6.9089999999999998</v>
      </c>
      <c r="T293">
        <v>19.376999999999999</v>
      </c>
      <c r="U293">
        <v>12278</v>
      </c>
      <c r="V293">
        <v>0.17399999999999999</v>
      </c>
      <c r="W293">
        <v>38.753999999999998</v>
      </c>
      <c r="X293">
        <v>31003</v>
      </c>
      <c r="Y293">
        <v>32308</v>
      </c>
      <c r="Z293">
        <v>410418</v>
      </c>
    </row>
    <row r="294" spans="1:26" x14ac:dyDescent="0.25">
      <c r="A294">
        <v>2007</v>
      </c>
      <c r="B294" t="s">
        <v>56</v>
      </c>
      <c r="C294">
        <v>609010</v>
      </c>
      <c r="D294">
        <v>643761</v>
      </c>
      <c r="E294">
        <v>8518879</v>
      </c>
      <c r="F294">
        <v>8500223</v>
      </c>
      <c r="G294">
        <v>24531</v>
      </c>
      <c r="H294">
        <v>3.8149999999999999</v>
      </c>
      <c r="I294">
        <v>22881</v>
      </c>
      <c r="J294">
        <v>3.5590000000000002</v>
      </c>
      <c r="K294">
        <v>1445248</v>
      </c>
      <c r="L294">
        <v>497676</v>
      </c>
      <c r="M294">
        <v>947572</v>
      </c>
      <c r="N294">
        <v>5.8550000000000004</v>
      </c>
      <c r="O294">
        <v>17.001999999999999</v>
      </c>
      <c r="P294">
        <v>1408284</v>
      </c>
      <c r="Q294">
        <v>458347</v>
      </c>
      <c r="R294">
        <v>949937</v>
      </c>
      <c r="S294">
        <v>5.3920000000000003</v>
      </c>
      <c r="T294">
        <v>16.568000000000001</v>
      </c>
      <c r="U294">
        <v>36964</v>
      </c>
      <c r="V294">
        <v>0.435</v>
      </c>
      <c r="W294">
        <v>33.134999999999998</v>
      </c>
      <c r="X294">
        <v>13800</v>
      </c>
      <c r="Y294">
        <v>15329</v>
      </c>
      <c r="Z294">
        <v>370099</v>
      </c>
    </row>
    <row r="295" spans="1:26" x14ac:dyDescent="0.25">
      <c r="A295">
        <v>2007</v>
      </c>
      <c r="B295" t="s">
        <v>57</v>
      </c>
      <c r="C295">
        <v>512748</v>
      </c>
      <c r="D295">
        <v>698004</v>
      </c>
      <c r="E295">
        <v>20636760</v>
      </c>
      <c r="F295">
        <v>20592160</v>
      </c>
      <c r="G295">
        <v>31695</v>
      </c>
      <c r="H295">
        <v>4.5650000000000004</v>
      </c>
      <c r="I295">
        <v>24435</v>
      </c>
      <c r="J295">
        <v>3.5190000000000001</v>
      </c>
      <c r="K295">
        <v>3095223</v>
      </c>
      <c r="L295">
        <v>918928</v>
      </c>
      <c r="M295">
        <v>2176295</v>
      </c>
      <c r="N295">
        <v>4.4630000000000001</v>
      </c>
      <c r="O295">
        <v>15.031000000000001</v>
      </c>
      <c r="P295">
        <v>3002310</v>
      </c>
      <c r="Q295">
        <v>862686</v>
      </c>
      <c r="R295">
        <v>2139624</v>
      </c>
      <c r="S295">
        <v>4.1890000000000001</v>
      </c>
      <c r="T295">
        <v>14.58</v>
      </c>
      <c r="U295">
        <v>92913</v>
      </c>
      <c r="V295">
        <v>0.45100000000000001</v>
      </c>
      <c r="W295">
        <v>29.16</v>
      </c>
      <c r="X295">
        <v>8183</v>
      </c>
      <c r="Y295">
        <v>10998</v>
      </c>
      <c r="Z295">
        <v>605983</v>
      </c>
    </row>
    <row r="296" spans="1:26" x14ac:dyDescent="0.25">
      <c r="A296">
        <v>2007</v>
      </c>
      <c r="B296" t="s">
        <v>58</v>
      </c>
      <c r="C296">
        <v>87826</v>
      </c>
      <c r="D296">
        <v>352031</v>
      </c>
      <c r="E296">
        <v>16905528</v>
      </c>
      <c r="F296">
        <v>16883113</v>
      </c>
      <c r="G296">
        <v>23186</v>
      </c>
      <c r="H296">
        <v>6.6559999999999997</v>
      </c>
      <c r="I296">
        <v>15840</v>
      </c>
      <c r="J296">
        <v>4.5469999999999997</v>
      </c>
      <c r="K296">
        <v>2254995</v>
      </c>
      <c r="L296">
        <v>577376</v>
      </c>
      <c r="M296">
        <v>1677619</v>
      </c>
      <c r="N296">
        <v>3.42</v>
      </c>
      <c r="O296">
        <v>13.356999999999999</v>
      </c>
      <c r="P296">
        <v>2208658</v>
      </c>
      <c r="Q296">
        <v>521350</v>
      </c>
      <c r="R296">
        <v>1687308</v>
      </c>
      <c r="S296">
        <v>3.0880000000000001</v>
      </c>
      <c r="T296">
        <v>13.082000000000001</v>
      </c>
      <c r="U296">
        <v>46337</v>
      </c>
      <c r="V296">
        <v>0.27400000000000002</v>
      </c>
      <c r="W296">
        <v>26.164000000000001</v>
      </c>
      <c r="X296">
        <v>722</v>
      </c>
      <c r="Y296">
        <v>2768</v>
      </c>
      <c r="Z296">
        <v>251937</v>
      </c>
    </row>
    <row r="297" spans="1:26" x14ac:dyDescent="0.25">
      <c r="A297">
        <v>2007</v>
      </c>
      <c r="B297" t="s">
        <v>59</v>
      </c>
      <c r="C297">
        <v>10071</v>
      </c>
      <c r="D297">
        <v>113822</v>
      </c>
      <c r="E297">
        <v>6125586</v>
      </c>
      <c r="F297">
        <v>6074744</v>
      </c>
      <c r="G297">
        <v>9834</v>
      </c>
      <c r="H297">
        <v>8.7919999999999998</v>
      </c>
      <c r="I297">
        <v>5893</v>
      </c>
      <c r="J297">
        <v>5.2690000000000001</v>
      </c>
      <c r="K297">
        <v>826437</v>
      </c>
      <c r="L297">
        <v>225763</v>
      </c>
      <c r="M297">
        <v>600674</v>
      </c>
      <c r="N297">
        <v>3.7160000000000002</v>
      </c>
      <c r="O297">
        <v>13.603999999999999</v>
      </c>
      <c r="P297">
        <v>724440</v>
      </c>
      <c r="Q297">
        <v>175082</v>
      </c>
      <c r="R297">
        <v>549358</v>
      </c>
      <c r="S297">
        <v>2.8820000000000001</v>
      </c>
      <c r="T297">
        <v>11.925000000000001</v>
      </c>
      <c r="U297">
        <v>101997</v>
      </c>
      <c r="V297">
        <v>1.679</v>
      </c>
      <c r="W297">
        <v>23.850999999999999</v>
      </c>
      <c r="X297">
        <v>35</v>
      </c>
      <c r="Y297">
        <v>308</v>
      </c>
      <c r="Z297">
        <v>48332</v>
      </c>
    </row>
    <row r="298" spans="1:26" x14ac:dyDescent="0.25">
      <c r="A298">
        <v>2007</v>
      </c>
      <c r="B298" t="s">
        <v>60</v>
      </c>
      <c r="C298">
        <v>6380</v>
      </c>
      <c r="D298">
        <v>141904</v>
      </c>
      <c r="E298">
        <v>8306505</v>
      </c>
      <c r="F298">
        <v>8198857</v>
      </c>
      <c r="G298">
        <v>13370</v>
      </c>
      <c r="H298">
        <v>9.5760000000000005</v>
      </c>
      <c r="I298">
        <v>8807</v>
      </c>
      <c r="J298">
        <v>6.3079999999999998</v>
      </c>
      <c r="K298">
        <v>1105475</v>
      </c>
      <c r="L298">
        <v>317593</v>
      </c>
      <c r="M298">
        <v>787882</v>
      </c>
      <c r="N298">
        <v>3.8740000000000001</v>
      </c>
      <c r="O298">
        <v>13.483000000000001</v>
      </c>
      <c r="P298">
        <v>890851</v>
      </c>
      <c r="Q298">
        <v>244993</v>
      </c>
      <c r="R298">
        <v>645858</v>
      </c>
      <c r="S298">
        <v>2.988</v>
      </c>
      <c r="T298">
        <v>10.866</v>
      </c>
      <c r="U298">
        <v>214624</v>
      </c>
      <c r="V298">
        <v>2.6179999999999999</v>
      </c>
      <c r="W298">
        <v>21.731000000000002</v>
      </c>
      <c r="X298">
        <v>19</v>
      </c>
      <c r="Y298">
        <v>154</v>
      </c>
      <c r="Z298">
        <v>51898</v>
      </c>
    </row>
    <row r="299" spans="1:26" x14ac:dyDescent="0.25">
      <c r="A299">
        <v>2007</v>
      </c>
      <c r="B299" t="s">
        <v>61</v>
      </c>
      <c r="C299">
        <v>2552</v>
      </c>
      <c r="D299">
        <v>113125</v>
      </c>
      <c r="E299">
        <v>6527685</v>
      </c>
      <c r="F299">
        <v>6443666</v>
      </c>
      <c r="G299">
        <v>11804</v>
      </c>
      <c r="H299">
        <v>10.64</v>
      </c>
      <c r="I299">
        <v>7432</v>
      </c>
      <c r="J299">
        <v>6.6989999999999998</v>
      </c>
      <c r="K299">
        <v>872349</v>
      </c>
      <c r="L299">
        <v>249436</v>
      </c>
      <c r="M299">
        <v>622913</v>
      </c>
      <c r="N299">
        <v>3.871</v>
      </c>
      <c r="O299">
        <v>13.538</v>
      </c>
      <c r="P299">
        <v>705331</v>
      </c>
      <c r="Q299">
        <v>182340</v>
      </c>
      <c r="R299">
        <v>522991</v>
      </c>
      <c r="S299">
        <v>2.83</v>
      </c>
      <c r="T299">
        <v>10.946</v>
      </c>
      <c r="U299">
        <v>167018</v>
      </c>
      <c r="V299">
        <v>2.5920000000000001</v>
      </c>
      <c r="W299">
        <v>21.891999999999999</v>
      </c>
      <c r="X299" t="s">
        <v>62</v>
      </c>
      <c r="Y299" t="s">
        <v>62</v>
      </c>
      <c r="Z299" t="s">
        <v>62</v>
      </c>
    </row>
    <row r="300" spans="1:26" x14ac:dyDescent="0.25">
      <c r="A300">
        <v>2007</v>
      </c>
      <c r="B300" t="s">
        <v>63</v>
      </c>
      <c r="C300">
        <v>1457</v>
      </c>
      <c r="D300">
        <v>122301</v>
      </c>
      <c r="E300">
        <v>6750503</v>
      </c>
      <c r="F300">
        <v>6722206</v>
      </c>
      <c r="G300">
        <v>13906</v>
      </c>
      <c r="H300">
        <v>11.478</v>
      </c>
      <c r="I300">
        <v>11607</v>
      </c>
      <c r="J300">
        <v>9.5809999999999995</v>
      </c>
      <c r="K300">
        <v>892322</v>
      </c>
      <c r="L300">
        <v>307024</v>
      </c>
      <c r="M300">
        <v>585298</v>
      </c>
      <c r="N300">
        <v>4.5670000000000002</v>
      </c>
      <c r="O300">
        <v>13.273999999999999</v>
      </c>
      <c r="P300">
        <v>835443</v>
      </c>
      <c r="Q300">
        <v>240402</v>
      </c>
      <c r="R300">
        <v>595041</v>
      </c>
      <c r="S300">
        <v>3.5760000000000001</v>
      </c>
      <c r="T300">
        <v>12.428000000000001</v>
      </c>
      <c r="U300">
        <v>56879</v>
      </c>
      <c r="V300">
        <v>0.84599999999999997</v>
      </c>
      <c r="W300">
        <v>24.856000000000002</v>
      </c>
      <c r="X300" t="s">
        <v>62</v>
      </c>
      <c r="Y300" t="s">
        <v>62</v>
      </c>
      <c r="Z300" t="s">
        <v>62</v>
      </c>
    </row>
    <row r="301" spans="1:26" x14ac:dyDescent="0.25">
      <c r="A301">
        <v>2007</v>
      </c>
      <c r="B301" t="s">
        <v>64</v>
      </c>
      <c r="C301">
        <v>1391</v>
      </c>
      <c r="D301">
        <v>637070</v>
      </c>
      <c r="E301">
        <v>31981606</v>
      </c>
      <c r="F301">
        <v>32132338</v>
      </c>
      <c r="G301">
        <v>67531</v>
      </c>
      <c r="H301">
        <v>10.614000000000001</v>
      </c>
      <c r="I301">
        <v>65862</v>
      </c>
      <c r="J301">
        <v>10.352</v>
      </c>
      <c r="K301">
        <v>4339608</v>
      </c>
      <c r="L301">
        <v>1384549</v>
      </c>
      <c r="M301">
        <v>2955059</v>
      </c>
      <c r="N301">
        <v>4.3090000000000002</v>
      </c>
      <c r="O301">
        <v>13.505000000000001</v>
      </c>
      <c r="P301">
        <v>4644315</v>
      </c>
      <c r="Q301">
        <v>1487863</v>
      </c>
      <c r="R301">
        <v>3156452</v>
      </c>
      <c r="S301">
        <v>4.63</v>
      </c>
      <c r="T301">
        <v>14.454000000000001</v>
      </c>
      <c r="U301">
        <v>-304707</v>
      </c>
      <c r="V301">
        <v>-0.94799999999999995</v>
      </c>
      <c r="W301">
        <v>27.010999999999999</v>
      </c>
      <c r="X301" t="s">
        <v>62</v>
      </c>
      <c r="Y301" t="s">
        <v>62</v>
      </c>
      <c r="Z301" t="s">
        <v>62</v>
      </c>
    </row>
    <row r="302" spans="1:26" x14ac:dyDescent="0.25">
      <c r="A302">
        <v>2008</v>
      </c>
      <c r="B302" t="s">
        <v>54</v>
      </c>
      <c r="C302">
        <v>3032195</v>
      </c>
      <c r="D302">
        <v>3036312</v>
      </c>
      <c r="E302">
        <v>6811400</v>
      </c>
      <c r="F302">
        <v>6918245</v>
      </c>
      <c r="G302">
        <v>507554</v>
      </c>
      <c r="H302">
        <v>16.568999999999999</v>
      </c>
      <c r="I302">
        <v>561402</v>
      </c>
      <c r="J302">
        <v>18.327000000000002</v>
      </c>
      <c r="K302">
        <v>1910601</v>
      </c>
      <c r="L302">
        <v>1214764</v>
      </c>
      <c r="M302">
        <v>695837</v>
      </c>
      <c r="N302">
        <v>17.559000000000001</v>
      </c>
      <c r="O302">
        <v>27.617000000000001</v>
      </c>
      <c r="P302">
        <v>2123637</v>
      </c>
      <c r="Q302">
        <v>1289123</v>
      </c>
      <c r="R302">
        <v>834514</v>
      </c>
      <c r="S302">
        <v>18.634</v>
      </c>
      <c r="T302">
        <v>30.696000000000002</v>
      </c>
      <c r="U302">
        <v>-213036</v>
      </c>
      <c r="V302">
        <v>-3.0790000000000002</v>
      </c>
      <c r="W302">
        <v>55.234000000000002</v>
      </c>
      <c r="X302">
        <v>440985</v>
      </c>
      <c r="Y302">
        <v>442311</v>
      </c>
      <c r="Z302">
        <v>1050721</v>
      </c>
    </row>
    <row r="303" spans="1:26" x14ac:dyDescent="0.25">
      <c r="A303">
        <v>2008</v>
      </c>
      <c r="B303" t="s">
        <v>55</v>
      </c>
      <c r="C303">
        <v>993287</v>
      </c>
      <c r="D303">
        <v>1006603</v>
      </c>
      <c r="E303">
        <v>6916817</v>
      </c>
      <c r="F303">
        <v>6969374</v>
      </c>
      <c r="G303">
        <v>38051</v>
      </c>
      <c r="H303">
        <v>3.7789999999999999</v>
      </c>
      <c r="I303">
        <v>38772</v>
      </c>
      <c r="J303">
        <v>3.85</v>
      </c>
      <c r="K303">
        <v>1264850</v>
      </c>
      <c r="L303">
        <v>468324</v>
      </c>
      <c r="M303">
        <v>796526</v>
      </c>
      <c r="N303">
        <v>6.72</v>
      </c>
      <c r="O303">
        <v>18.149000000000001</v>
      </c>
      <c r="P303">
        <v>1369760</v>
      </c>
      <c r="Q303">
        <v>479878</v>
      </c>
      <c r="R303">
        <v>889882</v>
      </c>
      <c r="S303">
        <v>6.8860000000000001</v>
      </c>
      <c r="T303">
        <v>19.654</v>
      </c>
      <c r="U303">
        <v>-104910</v>
      </c>
      <c r="V303">
        <v>-1.5049999999999999</v>
      </c>
      <c r="W303">
        <v>36.296999999999997</v>
      </c>
      <c r="X303">
        <v>31466</v>
      </c>
      <c r="Y303">
        <v>32805</v>
      </c>
      <c r="Z303">
        <v>417576</v>
      </c>
    </row>
    <row r="304" spans="1:26" x14ac:dyDescent="0.25">
      <c r="A304">
        <v>2008</v>
      </c>
      <c r="B304" t="s">
        <v>56</v>
      </c>
      <c r="C304">
        <v>600775</v>
      </c>
      <c r="D304">
        <v>636644</v>
      </c>
      <c r="E304">
        <v>8364976</v>
      </c>
      <c r="F304">
        <v>8399488</v>
      </c>
      <c r="G304">
        <v>21821</v>
      </c>
      <c r="H304">
        <v>3.431</v>
      </c>
      <c r="I304">
        <v>20665</v>
      </c>
      <c r="J304">
        <v>3.2490000000000001</v>
      </c>
      <c r="K304">
        <v>1310194</v>
      </c>
      <c r="L304">
        <v>444061</v>
      </c>
      <c r="M304">
        <v>866133</v>
      </c>
      <c r="N304">
        <v>5.2869999999999999</v>
      </c>
      <c r="O304">
        <v>15.598000000000001</v>
      </c>
      <c r="P304">
        <v>1379671</v>
      </c>
      <c r="Q304">
        <v>441857</v>
      </c>
      <c r="R304">
        <v>937814</v>
      </c>
      <c r="S304">
        <v>5.2610000000000001</v>
      </c>
      <c r="T304">
        <v>16.425999999999998</v>
      </c>
      <c r="U304">
        <v>-69477</v>
      </c>
      <c r="V304">
        <v>-0.82699999999999996</v>
      </c>
      <c r="W304">
        <v>31.196999999999999</v>
      </c>
      <c r="X304">
        <v>14132</v>
      </c>
      <c r="Y304">
        <v>15982</v>
      </c>
      <c r="Z304">
        <v>380378</v>
      </c>
    </row>
    <row r="305" spans="1:26" x14ac:dyDescent="0.25">
      <c r="A305">
        <v>2008</v>
      </c>
      <c r="B305" t="s">
        <v>57</v>
      </c>
      <c r="C305">
        <v>507528</v>
      </c>
      <c r="D305">
        <v>692613</v>
      </c>
      <c r="E305">
        <v>20468456</v>
      </c>
      <c r="F305">
        <v>20426505</v>
      </c>
      <c r="G305">
        <v>27104</v>
      </c>
      <c r="H305">
        <v>3.9239999999999999</v>
      </c>
      <c r="I305">
        <v>23337</v>
      </c>
      <c r="J305">
        <v>3.379</v>
      </c>
      <c r="K305">
        <v>2868043</v>
      </c>
      <c r="L305">
        <v>797432</v>
      </c>
      <c r="M305">
        <v>2070611</v>
      </c>
      <c r="N305">
        <v>3.9039999999999999</v>
      </c>
      <c r="O305">
        <v>14.041</v>
      </c>
      <c r="P305">
        <v>2784506</v>
      </c>
      <c r="Q305">
        <v>772519</v>
      </c>
      <c r="R305">
        <v>2011987</v>
      </c>
      <c r="S305">
        <v>3.782</v>
      </c>
      <c r="T305">
        <v>13.632</v>
      </c>
      <c r="U305">
        <v>83537</v>
      </c>
      <c r="V305">
        <v>0.40899999999999997</v>
      </c>
      <c r="W305">
        <v>27.263999999999999</v>
      </c>
      <c r="X305">
        <v>8127</v>
      </c>
      <c r="Y305">
        <v>11214</v>
      </c>
      <c r="Z305">
        <v>597821</v>
      </c>
    </row>
    <row r="306" spans="1:26" x14ac:dyDescent="0.25">
      <c r="A306">
        <v>2008</v>
      </c>
      <c r="B306" t="s">
        <v>58</v>
      </c>
      <c r="C306">
        <v>87766</v>
      </c>
      <c r="D306">
        <v>353363</v>
      </c>
      <c r="E306">
        <v>17047280</v>
      </c>
      <c r="F306">
        <v>16889880</v>
      </c>
      <c r="G306">
        <v>21431</v>
      </c>
      <c r="H306">
        <v>6.1050000000000004</v>
      </c>
      <c r="I306">
        <v>16731</v>
      </c>
      <c r="J306">
        <v>4.766</v>
      </c>
      <c r="K306">
        <v>2282560</v>
      </c>
      <c r="L306">
        <v>548467</v>
      </c>
      <c r="M306">
        <v>1734093</v>
      </c>
      <c r="N306">
        <v>3.2469999999999999</v>
      </c>
      <c r="O306">
        <v>13.513999999999999</v>
      </c>
      <c r="P306">
        <v>1968963</v>
      </c>
      <c r="Q306">
        <v>505754</v>
      </c>
      <c r="R306">
        <v>1463209</v>
      </c>
      <c r="S306">
        <v>2.9940000000000002</v>
      </c>
      <c r="T306">
        <v>11.657999999999999</v>
      </c>
      <c r="U306">
        <v>313597</v>
      </c>
      <c r="V306">
        <v>1.857</v>
      </c>
      <c r="W306">
        <v>23.315000000000001</v>
      </c>
      <c r="X306">
        <v>752</v>
      </c>
      <c r="Y306">
        <v>2412</v>
      </c>
      <c r="Z306">
        <v>257624</v>
      </c>
    </row>
    <row r="307" spans="1:26" x14ac:dyDescent="0.25">
      <c r="A307">
        <v>2008</v>
      </c>
      <c r="B307" t="s">
        <v>59</v>
      </c>
      <c r="C307">
        <v>10143</v>
      </c>
      <c r="D307">
        <v>116169</v>
      </c>
      <c r="E307">
        <v>6170689</v>
      </c>
      <c r="F307">
        <v>6128519</v>
      </c>
      <c r="G307">
        <v>8250</v>
      </c>
      <c r="H307">
        <v>7.1459999999999999</v>
      </c>
      <c r="I307">
        <v>6813</v>
      </c>
      <c r="J307">
        <v>5.9009999999999998</v>
      </c>
      <c r="K307">
        <v>814353</v>
      </c>
      <c r="L307">
        <v>219262</v>
      </c>
      <c r="M307">
        <v>595091</v>
      </c>
      <c r="N307">
        <v>3.5779999999999998</v>
      </c>
      <c r="O307">
        <v>13.288</v>
      </c>
      <c r="P307">
        <v>731027</v>
      </c>
      <c r="Q307">
        <v>193945</v>
      </c>
      <c r="R307">
        <v>537082</v>
      </c>
      <c r="S307">
        <v>3.165</v>
      </c>
      <c r="T307">
        <v>11.928000000000001</v>
      </c>
      <c r="U307">
        <v>83326</v>
      </c>
      <c r="V307">
        <v>1.36</v>
      </c>
      <c r="W307">
        <v>23.856999999999999</v>
      </c>
      <c r="X307">
        <v>38</v>
      </c>
      <c r="Y307">
        <v>439</v>
      </c>
      <c r="Z307">
        <v>49789</v>
      </c>
    </row>
    <row r="308" spans="1:26" x14ac:dyDescent="0.25">
      <c r="A308">
        <v>2008</v>
      </c>
      <c r="B308" t="s">
        <v>60</v>
      </c>
      <c r="C308">
        <v>6288</v>
      </c>
      <c r="D308">
        <v>141729</v>
      </c>
      <c r="E308">
        <v>8307231</v>
      </c>
      <c r="F308">
        <v>8284347</v>
      </c>
      <c r="G308">
        <v>11007</v>
      </c>
      <c r="H308">
        <v>7.7859999999999996</v>
      </c>
      <c r="I308">
        <v>10295</v>
      </c>
      <c r="J308">
        <v>7.282</v>
      </c>
      <c r="K308">
        <v>1026434</v>
      </c>
      <c r="L308">
        <v>271613</v>
      </c>
      <c r="M308">
        <v>754821</v>
      </c>
      <c r="N308">
        <v>3.2789999999999999</v>
      </c>
      <c r="O308">
        <v>12.39</v>
      </c>
      <c r="P308">
        <v>981763</v>
      </c>
      <c r="Q308">
        <v>262668</v>
      </c>
      <c r="R308">
        <v>719095</v>
      </c>
      <c r="S308">
        <v>3.1709999999999998</v>
      </c>
      <c r="T308">
        <v>11.851000000000001</v>
      </c>
      <c r="U308">
        <v>44671</v>
      </c>
      <c r="V308">
        <v>0.53900000000000003</v>
      </c>
      <c r="W308">
        <v>23.702000000000002</v>
      </c>
      <c r="X308">
        <v>21</v>
      </c>
      <c r="Y308">
        <v>597</v>
      </c>
      <c r="Z308">
        <v>65022</v>
      </c>
    </row>
    <row r="309" spans="1:26" x14ac:dyDescent="0.25">
      <c r="A309">
        <v>2008</v>
      </c>
      <c r="B309" t="s">
        <v>61</v>
      </c>
      <c r="C309">
        <v>2505</v>
      </c>
      <c r="D309">
        <v>118275</v>
      </c>
      <c r="E309">
        <v>6557290</v>
      </c>
      <c r="F309">
        <v>6516073</v>
      </c>
      <c r="G309">
        <v>10843</v>
      </c>
      <c r="H309">
        <v>9.2889999999999997</v>
      </c>
      <c r="I309">
        <v>7754</v>
      </c>
      <c r="J309">
        <v>6.6429999999999998</v>
      </c>
      <c r="K309">
        <v>796128</v>
      </c>
      <c r="L309">
        <v>248063</v>
      </c>
      <c r="M309">
        <v>548065</v>
      </c>
      <c r="N309">
        <v>3.8069999999999999</v>
      </c>
      <c r="O309">
        <v>12.218</v>
      </c>
      <c r="P309">
        <v>715000</v>
      </c>
      <c r="Q309">
        <v>202011</v>
      </c>
      <c r="R309">
        <v>512989</v>
      </c>
      <c r="S309">
        <v>3.1</v>
      </c>
      <c r="T309">
        <v>10.973000000000001</v>
      </c>
      <c r="U309">
        <v>81128</v>
      </c>
      <c r="V309">
        <v>1.2450000000000001</v>
      </c>
      <c r="W309">
        <v>21.946000000000002</v>
      </c>
      <c r="X309">
        <v>5</v>
      </c>
      <c r="Y309">
        <v>383</v>
      </c>
      <c r="Z309">
        <v>31493</v>
      </c>
    </row>
    <row r="310" spans="1:26" x14ac:dyDescent="0.25">
      <c r="A310">
        <v>2008</v>
      </c>
      <c r="B310" t="s">
        <v>63</v>
      </c>
      <c r="C310">
        <v>1440</v>
      </c>
      <c r="D310">
        <v>122894</v>
      </c>
      <c r="E310">
        <v>6922586</v>
      </c>
      <c r="F310">
        <v>6868830</v>
      </c>
      <c r="G310">
        <v>14970</v>
      </c>
      <c r="H310">
        <v>12.438000000000001</v>
      </c>
      <c r="I310">
        <v>9894</v>
      </c>
      <c r="J310">
        <v>8.2210000000000001</v>
      </c>
      <c r="K310">
        <v>916034</v>
      </c>
      <c r="L310">
        <v>318604</v>
      </c>
      <c r="M310">
        <v>597430</v>
      </c>
      <c r="N310">
        <v>4.6379999999999999</v>
      </c>
      <c r="O310">
        <v>13.336</v>
      </c>
      <c r="P310">
        <v>810235</v>
      </c>
      <c r="Q310">
        <v>235710</v>
      </c>
      <c r="R310">
        <v>574525</v>
      </c>
      <c r="S310">
        <v>3.4319999999999999</v>
      </c>
      <c r="T310">
        <v>11.795999999999999</v>
      </c>
      <c r="U310">
        <v>105799</v>
      </c>
      <c r="V310">
        <v>1.54</v>
      </c>
      <c r="W310">
        <v>23.591999999999999</v>
      </c>
      <c r="X310" t="s">
        <v>62</v>
      </c>
      <c r="Y310" t="s">
        <v>62</v>
      </c>
      <c r="Z310" t="s">
        <v>62</v>
      </c>
    </row>
    <row r="311" spans="1:26" x14ac:dyDescent="0.25">
      <c r="A311">
        <v>2008</v>
      </c>
      <c r="B311" t="s">
        <v>64</v>
      </c>
      <c r="C311">
        <v>2044</v>
      </c>
      <c r="D311">
        <v>649123</v>
      </c>
      <c r="E311">
        <v>31983823</v>
      </c>
      <c r="F311">
        <v>32216455</v>
      </c>
      <c r="G311">
        <v>49558</v>
      </c>
      <c r="H311">
        <v>7.6</v>
      </c>
      <c r="I311">
        <v>55460</v>
      </c>
      <c r="J311">
        <v>8.5050000000000008</v>
      </c>
      <c r="K311">
        <v>3760471</v>
      </c>
      <c r="L311">
        <v>1069150</v>
      </c>
      <c r="M311">
        <v>2691321</v>
      </c>
      <c r="N311">
        <v>3.319</v>
      </c>
      <c r="O311">
        <v>11.673</v>
      </c>
      <c r="P311">
        <v>4250894</v>
      </c>
      <c r="Q311">
        <v>1203793</v>
      </c>
      <c r="R311">
        <v>3047101</v>
      </c>
      <c r="S311">
        <v>3.7370000000000001</v>
      </c>
      <c r="T311">
        <v>13.195</v>
      </c>
      <c r="U311">
        <v>-490423</v>
      </c>
      <c r="V311">
        <v>-1.522</v>
      </c>
      <c r="W311">
        <v>23.344999999999999</v>
      </c>
      <c r="X311">
        <v>0</v>
      </c>
      <c r="Y311">
        <v>0</v>
      </c>
      <c r="Z311">
        <v>0</v>
      </c>
    </row>
    <row r="312" spans="1:26" x14ac:dyDescent="0.25">
      <c r="A312">
        <v>2009</v>
      </c>
      <c r="B312" t="s">
        <v>54</v>
      </c>
      <c r="C312">
        <v>2951193</v>
      </c>
      <c r="D312">
        <v>2956168</v>
      </c>
      <c r="E312">
        <v>6548761</v>
      </c>
      <c r="F312">
        <v>6832252</v>
      </c>
      <c r="G312">
        <v>451308</v>
      </c>
      <c r="H312">
        <v>14.881</v>
      </c>
      <c r="I312">
        <v>604604</v>
      </c>
      <c r="J312">
        <v>19.934999999999999</v>
      </c>
      <c r="K312">
        <v>1694237</v>
      </c>
      <c r="L312">
        <v>1064167</v>
      </c>
      <c r="M312">
        <v>630070</v>
      </c>
      <c r="N312">
        <v>15.576000000000001</v>
      </c>
      <c r="O312">
        <v>24.797999999999998</v>
      </c>
      <c r="P312">
        <v>2262828</v>
      </c>
      <c r="Q312">
        <v>1384257</v>
      </c>
      <c r="R312">
        <v>878571</v>
      </c>
      <c r="S312">
        <v>20.260999999999999</v>
      </c>
      <c r="T312">
        <v>33.119999999999997</v>
      </c>
      <c r="U312">
        <v>-568591</v>
      </c>
      <c r="V312">
        <v>-8.3219999999999992</v>
      </c>
      <c r="W312">
        <v>49.594999999999999</v>
      </c>
      <c r="X312">
        <v>457082</v>
      </c>
      <c r="Y312">
        <v>458546</v>
      </c>
      <c r="Z312">
        <v>1092124</v>
      </c>
    </row>
    <row r="313" spans="1:26" x14ac:dyDescent="0.25">
      <c r="A313">
        <v>2009</v>
      </c>
      <c r="B313" t="s">
        <v>55</v>
      </c>
      <c r="C313">
        <v>967168</v>
      </c>
      <c r="D313">
        <v>981773</v>
      </c>
      <c r="E313">
        <v>6614683</v>
      </c>
      <c r="F313">
        <v>6800769</v>
      </c>
      <c r="G313">
        <v>32782</v>
      </c>
      <c r="H313">
        <v>3.331</v>
      </c>
      <c r="I313">
        <v>37349</v>
      </c>
      <c r="J313">
        <v>3.7949999999999999</v>
      </c>
      <c r="K313">
        <v>1098524</v>
      </c>
      <c r="L313">
        <v>409483</v>
      </c>
      <c r="M313">
        <v>689041</v>
      </c>
      <c r="N313">
        <v>6.0209999999999999</v>
      </c>
      <c r="O313">
        <v>16.152999999999999</v>
      </c>
      <c r="P313">
        <v>1467299</v>
      </c>
      <c r="Q313">
        <v>471662</v>
      </c>
      <c r="R313">
        <v>995637</v>
      </c>
      <c r="S313">
        <v>6.9349999999999996</v>
      </c>
      <c r="T313">
        <v>21.574999999999999</v>
      </c>
      <c r="U313">
        <v>-368775</v>
      </c>
      <c r="V313">
        <v>-5.423</v>
      </c>
      <c r="W313">
        <v>32.305999999999997</v>
      </c>
      <c r="X313">
        <v>31035</v>
      </c>
      <c r="Y313">
        <v>32370</v>
      </c>
      <c r="Z313">
        <v>410778</v>
      </c>
    </row>
    <row r="314" spans="1:26" x14ac:dyDescent="0.25">
      <c r="A314">
        <v>2009</v>
      </c>
      <c r="B314" t="s">
        <v>56</v>
      </c>
      <c r="C314">
        <v>585047</v>
      </c>
      <c r="D314">
        <v>622634</v>
      </c>
      <c r="E314">
        <v>7977481</v>
      </c>
      <c r="F314">
        <v>8197876</v>
      </c>
      <c r="G314">
        <v>17377</v>
      </c>
      <c r="H314">
        <v>2.7890000000000001</v>
      </c>
      <c r="I314">
        <v>18321</v>
      </c>
      <c r="J314">
        <v>2.94</v>
      </c>
      <c r="K314">
        <v>1095296</v>
      </c>
      <c r="L314">
        <v>370400</v>
      </c>
      <c r="M314">
        <v>724896</v>
      </c>
      <c r="N314">
        <v>4.5179999999999998</v>
      </c>
      <c r="O314">
        <v>13.361000000000001</v>
      </c>
      <c r="P314">
        <v>1534955</v>
      </c>
      <c r="Q314">
        <v>419544</v>
      </c>
      <c r="R314">
        <v>1115411</v>
      </c>
      <c r="S314">
        <v>5.1180000000000003</v>
      </c>
      <c r="T314">
        <v>18.724</v>
      </c>
      <c r="U314">
        <v>-439659</v>
      </c>
      <c r="V314">
        <v>-5.3630000000000004</v>
      </c>
      <c r="W314">
        <v>26.721</v>
      </c>
      <c r="X314">
        <v>13637</v>
      </c>
      <c r="Y314">
        <v>15466</v>
      </c>
      <c r="Z314">
        <v>367496</v>
      </c>
    </row>
    <row r="315" spans="1:26" x14ac:dyDescent="0.25">
      <c r="A315">
        <v>2009</v>
      </c>
      <c r="B315" t="s">
        <v>57</v>
      </c>
      <c r="C315">
        <v>489718</v>
      </c>
      <c r="D315">
        <v>675742</v>
      </c>
      <c r="E315">
        <v>19104588</v>
      </c>
      <c r="F315">
        <v>19734898</v>
      </c>
      <c r="G315">
        <v>20372</v>
      </c>
      <c r="H315">
        <v>3.0190000000000001</v>
      </c>
      <c r="I315">
        <v>18277</v>
      </c>
      <c r="J315">
        <v>2.7090000000000001</v>
      </c>
      <c r="K315">
        <v>2109694</v>
      </c>
      <c r="L315">
        <v>644799</v>
      </c>
      <c r="M315">
        <v>1464895</v>
      </c>
      <c r="N315">
        <v>3.2669999999999999</v>
      </c>
      <c r="O315">
        <v>10.69</v>
      </c>
      <c r="P315">
        <v>3368816</v>
      </c>
      <c r="Q315">
        <v>768803</v>
      </c>
      <c r="R315">
        <v>2600013</v>
      </c>
      <c r="S315">
        <v>3.8959999999999999</v>
      </c>
      <c r="T315">
        <v>17.07</v>
      </c>
      <c r="U315">
        <v>-1259122</v>
      </c>
      <c r="V315">
        <v>-6.38</v>
      </c>
      <c r="W315">
        <v>21.38</v>
      </c>
      <c r="X315">
        <v>8403</v>
      </c>
      <c r="Y315">
        <v>12115</v>
      </c>
      <c r="Z315">
        <v>644503</v>
      </c>
    </row>
    <row r="316" spans="1:26" x14ac:dyDescent="0.25">
      <c r="A316">
        <v>2009</v>
      </c>
      <c r="B316" t="s">
        <v>58</v>
      </c>
      <c r="C316">
        <v>84715</v>
      </c>
      <c r="D316">
        <v>353730</v>
      </c>
      <c r="E316">
        <v>15921655</v>
      </c>
      <c r="F316">
        <v>16386057</v>
      </c>
      <c r="G316">
        <v>19675</v>
      </c>
      <c r="H316">
        <v>5.6059999999999999</v>
      </c>
      <c r="I316">
        <v>14180</v>
      </c>
      <c r="J316">
        <v>4.04</v>
      </c>
      <c r="K316">
        <v>1613990</v>
      </c>
      <c r="L316">
        <v>490270</v>
      </c>
      <c r="M316">
        <v>1123720</v>
      </c>
      <c r="N316">
        <v>2.992</v>
      </c>
      <c r="O316">
        <v>9.85</v>
      </c>
      <c r="P316">
        <v>2539760</v>
      </c>
      <c r="Q316">
        <v>534040</v>
      </c>
      <c r="R316">
        <v>2005720</v>
      </c>
      <c r="S316">
        <v>3.2589999999999999</v>
      </c>
      <c r="T316">
        <v>15.5</v>
      </c>
      <c r="U316">
        <v>-925770</v>
      </c>
      <c r="V316">
        <v>-5.65</v>
      </c>
      <c r="W316">
        <v>19.7</v>
      </c>
      <c r="X316">
        <v>876</v>
      </c>
      <c r="Y316">
        <v>2833</v>
      </c>
      <c r="Z316">
        <v>313887</v>
      </c>
    </row>
    <row r="317" spans="1:26" x14ac:dyDescent="0.25">
      <c r="A317">
        <v>2009</v>
      </c>
      <c r="B317" t="s">
        <v>59</v>
      </c>
      <c r="C317">
        <v>9718</v>
      </c>
      <c r="D317">
        <v>118897</v>
      </c>
      <c r="E317">
        <v>5863002</v>
      </c>
      <c r="F317">
        <v>6014225</v>
      </c>
      <c r="G317">
        <v>8275</v>
      </c>
      <c r="H317">
        <v>6.9909999999999997</v>
      </c>
      <c r="I317">
        <v>7215</v>
      </c>
      <c r="J317">
        <v>6.0949999999999998</v>
      </c>
      <c r="K317">
        <v>636107</v>
      </c>
      <c r="L317">
        <v>217128</v>
      </c>
      <c r="M317">
        <v>418979</v>
      </c>
      <c r="N317">
        <v>3.61</v>
      </c>
      <c r="O317">
        <v>10.577</v>
      </c>
      <c r="P317">
        <v>937032</v>
      </c>
      <c r="Q317">
        <v>195215</v>
      </c>
      <c r="R317">
        <v>741817</v>
      </c>
      <c r="S317">
        <v>3.246</v>
      </c>
      <c r="T317">
        <v>15.58</v>
      </c>
      <c r="U317">
        <v>-300925</v>
      </c>
      <c r="V317">
        <v>-5.0039999999999996</v>
      </c>
      <c r="W317">
        <v>21.152999999999999</v>
      </c>
      <c r="X317">
        <v>49</v>
      </c>
      <c r="Y317">
        <v>601</v>
      </c>
      <c r="Z317">
        <v>66545</v>
      </c>
    </row>
    <row r="318" spans="1:26" x14ac:dyDescent="0.25">
      <c r="A318">
        <v>2009</v>
      </c>
      <c r="B318" t="s">
        <v>60</v>
      </c>
      <c r="C318">
        <v>6110</v>
      </c>
      <c r="D318">
        <v>145123</v>
      </c>
      <c r="E318">
        <v>7968275</v>
      </c>
      <c r="F318">
        <v>8141355</v>
      </c>
      <c r="G318">
        <v>11934</v>
      </c>
      <c r="H318">
        <v>8.2159999999999993</v>
      </c>
      <c r="I318">
        <v>12211</v>
      </c>
      <c r="J318">
        <v>8.4060000000000006</v>
      </c>
      <c r="K318">
        <v>832170</v>
      </c>
      <c r="L318">
        <v>292427</v>
      </c>
      <c r="M318">
        <v>539743</v>
      </c>
      <c r="N318">
        <v>3.5920000000000001</v>
      </c>
      <c r="O318">
        <v>10.222</v>
      </c>
      <c r="P318">
        <v>1177420</v>
      </c>
      <c r="Q318">
        <v>284069</v>
      </c>
      <c r="R318">
        <v>893351</v>
      </c>
      <c r="S318">
        <v>3.4889999999999999</v>
      </c>
      <c r="T318">
        <v>14.462</v>
      </c>
      <c r="U318">
        <v>-345250</v>
      </c>
      <c r="V318">
        <v>-4.2409999999999997</v>
      </c>
      <c r="W318">
        <v>20.443000000000001</v>
      </c>
      <c r="X318">
        <v>27</v>
      </c>
      <c r="Y318">
        <v>1332</v>
      </c>
      <c r="Z318">
        <v>69734</v>
      </c>
    </row>
    <row r="319" spans="1:26" x14ac:dyDescent="0.25">
      <c r="A319">
        <v>2009</v>
      </c>
      <c r="B319" t="s">
        <v>61</v>
      </c>
      <c r="C319">
        <v>2423</v>
      </c>
      <c r="D319">
        <v>117936</v>
      </c>
      <c r="E319">
        <v>6263492</v>
      </c>
      <c r="F319">
        <v>6394632</v>
      </c>
      <c r="G319">
        <v>10257</v>
      </c>
      <c r="H319">
        <v>8.7690000000000001</v>
      </c>
      <c r="I319">
        <v>8315</v>
      </c>
      <c r="J319">
        <v>7.109</v>
      </c>
      <c r="K319">
        <v>623235</v>
      </c>
      <c r="L319">
        <v>215789</v>
      </c>
      <c r="M319">
        <v>407446</v>
      </c>
      <c r="N319">
        <v>3.375</v>
      </c>
      <c r="O319">
        <v>9.7460000000000004</v>
      </c>
      <c r="P319">
        <v>883422</v>
      </c>
      <c r="Q319">
        <v>187442</v>
      </c>
      <c r="R319">
        <v>695980</v>
      </c>
      <c r="S319">
        <v>2.931</v>
      </c>
      <c r="T319">
        <v>13.815</v>
      </c>
      <c r="U319">
        <v>-260187</v>
      </c>
      <c r="V319">
        <v>-4.069</v>
      </c>
      <c r="W319">
        <v>19.492000000000001</v>
      </c>
      <c r="X319">
        <v>3</v>
      </c>
      <c r="Y319">
        <v>60</v>
      </c>
      <c r="Z319">
        <v>19912</v>
      </c>
    </row>
    <row r="320" spans="1:26" x14ac:dyDescent="0.25">
      <c r="A320">
        <v>2009</v>
      </c>
      <c r="B320" t="s">
        <v>63</v>
      </c>
      <c r="C320">
        <v>1359</v>
      </c>
      <c r="D320">
        <v>119803</v>
      </c>
      <c r="E320">
        <v>6534115</v>
      </c>
      <c r="F320">
        <v>6671117</v>
      </c>
      <c r="G320">
        <v>11371</v>
      </c>
      <c r="H320">
        <v>9.5489999999999995</v>
      </c>
      <c r="I320">
        <v>9915</v>
      </c>
      <c r="J320">
        <v>8.327</v>
      </c>
      <c r="K320">
        <v>698368</v>
      </c>
      <c r="L320">
        <v>260089</v>
      </c>
      <c r="M320">
        <v>438279</v>
      </c>
      <c r="N320">
        <v>3.899</v>
      </c>
      <c r="O320">
        <v>10.468999999999999</v>
      </c>
      <c r="P320">
        <v>977081</v>
      </c>
      <c r="Q320">
        <v>236105</v>
      </c>
      <c r="R320">
        <v>740976</v>
      </c>
      <c r="S320">
        <v>3.5390000000000001</v>
      </c>
      <c r="T320">
        <v>14.646000000000001</v>
      </c>
      <c r="U320">
        <v>-278713</v>
      </c>
      <c r="V320">
        <v>-4.1779999999999999</v>
      </c>
      <c r="W320">
        <v>20.937000000000001</v>
      </c>
      <c r="X320" t="s">
        <v>62</v>
      </c>
      <c r="Y320" t="s">
        <v>62</v>
      </c>
      <c r="Z320" t="s">
        <v>62</v>
      </c>
    </row>
    <row r="321" spans="1:26" x14ac:dyDescent="0.25">
      <c r="A321">
        <v>2009</v>
      </c>
      <c r="B321" t="s">
        <v>64</v>
      </c>
      <c r="C321">
        <v>1201</v>
      </c>
      <c r="D321">
        <v>646094</v>
      </c>
      <c r="E321">
        <v>30861743</v>
      </c>
      <c r="F321">
        <v>31579263</v>
      </c>
      <c r="G321">
        <v>49390</v>
      </c>
      <c r="H321">
        <v>7.5709999999999997</v>
      </c>
      <c r="I321">
        <v>61960</v>
      </c>
      <c r="J321">
        <v>9.4979999999999993</v>
      </c>
      <c r="K321">
        <v>2979276</v>
      </c>
      <c r="L321">
        <v>1003939</v>
      </c>
      <c r="M321">
        <v>1975337</v>
      </c>
      <c r="N321">
        <v>3.1789999999999998</v>
      </c>
      <c r="O321">
        <v>9.4339999999999993</v>
      </c>
      <c r="P321">
        <v>4435025</v>
      </c>
      <c r="Q321">
        <v>1108377</v>
      </c>
      <c r="R321">
        <v>3326648</v>
      </c>
      <c r="S321">
        <v>3.51</v>
      </c>
      <c r="T321">
        <v>14.044</v>
      </c>
      <c r="U321">
        <v>-1455749</v>
      </c>
      <c r="V321">
        <v>-4.6100000000000003</v>
      </c>
      <c r="W321">
        <v>18.869</v>
      </c>
      <c r="X321" t="s">
        <v>62</v>
      </c>
      <c r="Y321" t="s">
        <v>62</v>
      </c>
      <c r="Z321" t="s">
        <v>62</v>
      </c>
    </row>
    <row r="322" spans="1:26" x14ac:dyDescent="0.25">
      <c r="A322">
        <v>2010</v>
      </c>
      <c r="B322" t="s">
        <v>54</v>
      </c>
      <c r="C322">
        <v>2936798</v>
      </c>
      <c r="D322">
        <v>2942582</v>
      </c>
      <c r="E322">
        <v>6528422</v>
      </c>
      <c r="F322">
        <v>6666061</v>
      </c>
      <c r="G322">
        <v>459025</v>
      </c>
      <c r="H322">
        <v>15.4</v>
      </c>
      <c r="I322">
        <v>535207</v>
      </c>
      <c r="J322">
        <v>17.956</v>
      </c>
      <c r="K322">
        <v>1687050</v>
      </c>
      <c r="L322">
        <v>1067392</v>
      </c>
      <c r="M322">
        <v>619658</v>
      </c>
      <c r="N322">
        <v>16.012</v>
      </c>
      <c r="O322">
        <v>25.308</v>
      </c>
      <c r="P322">
        <v>1961807</v>
      </c>
      <c r="Q322">
        <v>1210865</v>
      </c>
      <c r="R322">
        <v>750942</v>
      </c>
      <c r="S322">
        <v>18.164999999999999</v>
      </c>
      <c r="T322">
        <v>29.43</v>
      </c>
      <c r="U322">
        <v>-274757</v>
      </c>
      <c r="V322">
        <v>-4.1219999999999999</v>
      </c>
      <c r="W322">
        <v>50.616</v>
      </c>
      <c r="X322">
        <v>394469</v>
      </c>
      <c r="Y322">
        <v>396306</v>
      </c>
      <c r="Z322">
        <v>937411</v>
      </c>
    </row>
    <row r="323" spans="1:26" x14ac:dyDescent="0.25">
      <c r="A323">
        <v>2010</v>
      </c>
      <c r="B323" t="s">
        <v>55</v>
      </c>
      <c r="C323">
        <v>945506</v>
      </c>
      <c r="D323">
        <v>960971</v>
      </c>
      <c r="E323">
        <v>6565399</v>
      </c>
      <c r="F323">
        <v>6603512</v>
      </c>
      <c r="G323">
        <v>37950</v>
      </c>
      <c r="H323">
        <v>3.9590000000000001</v>
      </c>
      <c r="I323">
        <v>33207</v>
      </c>
      <c r="J323">
        <v>3.464</v>
      </c>
      <c r="K323">
        <v>1177490</v>
      </c>
      <c r="L323">
        <v>465089</v>
      </c>
      <c r="M323">
        <v>712401</v>
      </c>
      <c r="N323">
        <v>7.0430000000000001</v>
      </c>
      <c r="O323">
        <v>17.831</v>
      </c>
      <c r="P323">
        <v>1252336</v>
      </c>
      <c r="Q323">
        <v>411459</v>
      </c>
      <c r="R323">
        <v>840877</v>
      </c>
      <c r="S323">
        <v>6.2309999999999999</v>
      </c>
      <c r="T323">
        <v>18.965</v>
      </c>
      <c r="U323">
        <v>-74846</v>
      </c>
      <c r="V323">
        <v>-1.133</v>
      </c>
      <c r="W323">
        <v>35.662999999999997</v>
      </c>
      <c r="X323">
        <v>26889</v>
      </c>
      <c r="Y323">
        <v>28440</v>
      </c>
      <c r="Z323">
        <v>355775</v>
      </c>
    </row>
    <row r="324" spans="1:26" x14ac:dyDescent="0.25">
      <c r="A324">
        <v>2010</v>
      </c>
      <c r="B324" t="s">
        <v>56</v>
      </c>
      <c r="C324">
        <v>574601</v>
      </c>
      <c r="D324">
        <v>613900</v>
      </c>
      <c r="E324">
        <v>7903440</v>
      </c>
      <c r="F324">
        <v>8007502</v>
      </c>
      <c r="G324">
        <v>15674</v>
      </c>
      <c r="H324">
        <v>2.552</v>
      </c>
      <c r="I324">
        <v>16256</v>
      </c>
      <c r="J324">
        <v>2.6469999999999998</v>
      </c>
      <c r="K324">
        <v>1089760</v>
      </c>
      <c r="L324">
        <v>332535</v>
      </c>
      <c r="M324">
        <v>757225</v>
      </c>
      <c r="N324">
        <v>4.1529999999999996</v>
      </c>
      <c r="O324">
        <v>13.609</v>
      </c>
      <c r="P324">
        <v>1296426</v>
      </c>
      <c r="Q324">
        <v>363054</v>
      </c>
      <c r="R324">
        <v>933372</v>
      </c>
      <c r="S324">
        <v>4.5339999999999998</v>
      </c>
      <c r="T324">
        <v>16.190000000000001</v>
      </c>
      <c r="U324">
        <v>-206666</v>
      </c>
      <c r="V324">
        <v>-2.581</v>
      </c>
      <c r="W324">
        <v>27.218</v>
      </c>
      <c r="X324">
        <v>11761</v>
      </c>
      <c r="Y324">
        <v>13430</v>
      </c>
      <c r="Z324">
        <v>315927</v>
      </c>
    </row>
    <row r="325" spans="1:26" x14ac:dyDescent="0.25">
      <c r="A325">
        <v>2010</v>
      </c>
      <c r="B325" t="s">
        <v>57</v>
      </c>
      <c r="C325">
        <v>468520</v>
      </c>
      <c r="D325">
        <v>659561</v>
      </c>
      <c r="E325">
        <v>18454312</v>
      </c>
      <c r="F325">
        <v>18677987</v>
      </c>
      <c r="G325">
        <v>23814</v>
      </c>
      <c r="H325">
        <v>3.6320000000000001</v>
      </c>
      <c r="I325">
        <v>16166</v>
      </c>
      <c r="J325">
        <v>2.4649999999999999</v>
      </c>
      <c r="K325">
        <v>2125344</v>
      </c>
      <c r="L325">
        <v>729352</v>
      </c>
      <c r="M325">
        <v>1395992</v>
      </c>
      <c r="N325">
        <v>3.9049999999999998</v>
      </c>
      <c r="O325">
        <v>11.379</v>
      </c>
      <c r="P325">
        <v>2572263</v>
      </c>
      <c r="Q325">
        <v>571126</v>
      </c>
      <c r="R325">
        <v>2001137</v>
      </c>
      <c r="S325">
        <v>3.0579999999999998</v>
      </c>
      <c r="T325">
        <v>13.772</v>
      </c>
      <c r="U325">
        <v>-446919</v>
      </c>
      <c r="V325">
        <v>-2.3929999999999998</v>
      </c>
      <c r="W325">
        <v>22.757999999999999</v>
      </c>
      <c r="X325">
        <v>6406</v>
      </c>
      <c r="Y325">
        <v>10016</v>
      </c>
      <c r="Z325">
        <v>462074</v>
      </c>
    </row>
    <row r="326" spans="1:26" x14ac:dyDescent="0.25">
      <c r="A326">
        <v>2010</v>
      </c>
      <c r="B326" t="s">
        <v>58</v>
      </c>
      <c r="C326">
        <v>81344</v>
      </c>
      <c r="D326">
        <v>355253</v>
      </c>
      <c r="E326">
        <v>15596198</v>
      </c>
      <c r="F326">
        <v>15632169</v>
      </c>
      <c r="G326">
        <v>22380</v>
      </c>
      <c r="H326">
        <v>6.3760000000000003</v>
      </c>
      <c r="I326">
        <v>13882</v>
      </c>
      <c r="J326">
        <v>3.9550000000000001</v>
      </c>
      <c r="K326">
        <v>1788159</v>
      </c>
      <c r="L326">
        <v>573369</v>
      </c>
      <c r="M326">
        <v>1214790</v>
      </c>
      <c r="N326">
        <v>3.6680000000000001</v>
      </c>
      <c r="O326">
        <v>11.439</v>
      </c>
      <c r="P326">
        <v>1862587</v>
      </c>
      <c r="Q326">
        <v>372265</v>
      </c>
      <c r="R326">
        <v>1490322</v>
      </c>
      <c r="S326">
        <v>2.3809999999999998</v>
      </c>
      <c r="T326">
        <v>11.914999999999999</v>
      </c>
      <c r="U326">
        <v>-74428</v>
      </c>
      <c r="V326">
        <v>-0.47599999999999998</v>
      </c>
      <c r="W326">
        <v>22.878</v>
      </c>
      <c r="X326">
        <v>500</v>
      </c>
      <c r="Y326">
        <v>2565</v>
      </c>
      <c r="Z326">
        <v>180574</v>
      </c>
    </row>
    <row r="327" spans="1:26" x14ac:dyDescent="0.25">
      <c r="A327">
        <v>2010</v>
      </c>
      <c r="B327" t="s">
        <v>59</v>
      </c>
      <c r="C327">
        <v>9458</v>
      </c>
      <c r="D327">
        <v>121266</v>
      </c>
      <c r="E327">
        <v>5776217</v>
      </c>
      <c r="F327">
        <v>5802939</v>
      </c>
      <c r="G327">
        <v>7874</v>
      </c>
      <c r="H327">
        <v>6.5309999999999997</v>
      </c>
      <c r="I327">
        <v>6475</v>
      </c>
      <c r="J327">
        <v>5.37</v>
      </c>
      <c r="K327">
        <v>648245</v>
      </c>
      <c r="L327">
        <v>193519</v>
      </c>
      <c r="M327">
        <v>454726</v>
      </c>
      <c r="N327">
        <v>3.335</v>
      </c>
      <c r="O327">
        <v>11.170999999999999</v>
      </c>
      <c r="P327">
        <v>704735</v>
      </c>
      <c r="Q327">
        <v>151210</v>
      </c>
      <c r="R327">
        <v>553525</v>
      </c>
      <c r="S327">
        <v>2.6059999999999999</v>
      </c>
      <c r="T327">
        <v>12.144</v>
      </c>
      <c r="U327">
        <v>-56490</v>
      </c>
      <c r="V327">
        <v>-0.97299999999999998</v>
      </c>
      <c r="W327">
        <v>22.341999999999999</v>
      </c>
      <c r="X327">
        <v>34</v>
      </c>
      <c r="Y327">
        <v>318</v>
      </c>
      <c r="Z327">
        <v>46506</v>
      </c>
    </row>
    <row r="328" spans="1:26" x14ac:dyDescent="0.25">
      <c r="A328">
        <v>2010</v>
      </c>
      <c r="B328" t="s">
        <v>60</v>
      </c>
      <c r="C328">
        <v>5948</v>
      </c>
      <c r="D328">
        <v>145843</v>
      </c>
      <c r="E328">
        <v>7871286</v>
      </c>
      <c r="F328">
        <v>7943887</v>
      </c>
      <c r="G328">
        <v>10460</v>
      </c>
      <c r="H328">
        <v>7.1970000000000001</v>
      </c>
      <c r="I328">
        <v>9445</v>
      </c>
      <c r="J328">
        <v>6.4989999999999997</v>
      </c>
      <c r="K328">
        <v>816378</v>
      </c>
      <c r="L328">
        <v>249463</v>
      </c>
      <c r="M328">
        <v>566915</v>
      </c>
      <c r="N328">
        <v>3.14</v>
      </c>
      <c r="O328">
        <v>10.276999999999999</v>
      </c>
      <c r="P328">
        <v>966549</v>
      </c>
      <c r="Q328">
        <v>227932</v>
      </c>
      <c r="R328">
        <v>738617</v>
      </c>
      <c r="S328">
        <v>2.8690000000000002</v>
      </c>
      <c r="T328">
        <v>12.167</v>
      </c>
      <c r="U328">
        <v>-150171</v>
      </c>
      <c r="V328">
        <v>-1.89</v>
      </c>
      <c r="W328">
        <v>20.553999999999998</v>
      </c>
      <c r="X328">
        <v>12</v>
      </c>
      <c r="Y328">
        <v>636</v>
      </c>
      <c r="Z328">
        <v>37880</v>
      </c>
    </row>
    <row r="329" spans="1:26" x14ac:dyDescent="0.25">
      <c r="A329">
        <v>2010</v>
      </c>
      <c r="B329" t="s">
        <v>61</v>
      </c>
      <c r="C329">
        <v>2307</v>
      </c>
      <c r="D329">
        <v>118360</v>
      </c>
      <c r="E329">
        <v>6089898</v>
      </c>
      <c r="F329">
        <v>6170876</v>
      </c>
      <c r="G329">
        <v>8205</v>
      </c>
      <c r="H329">
        <v>6.9180000000000001</v>
      </c>
      <c r="I329">
        <v>8684</v>
      </c>
      <c r="J329">
        <v>7.3220000000000001</v>
      </c>
      <c r="K329">
        <v>566694</v>
      </c>
      <c r="L329">
        <v>163062</v>
      </c>
      <c r="M329">
        <v>403632</v>
      </c>
      <c r="N329">
        <v>2.6419999999999999</v>
      </c>
      <c r="O329">
        <v>9.1829999999999998</v>
      </c>
      <c r="P329">
        <v>729513</v>
      </c>
      <c r="Q329">
        <v>199244</v>
      </c>
      <c r="R329">
        <v>530269</v>
      </c>
      <c r="S329">
        <v>3.2290000000000001</v>
      </c>
      <c r="T329">
        <v>11.821999999999999</v>
      </c>
      <c r="U329">
        <v>-162819</v>
      </c>
      <c r="V329">
        <v>-2.6389999999999998</v>
      </c>
      <c r="W329">
        <v>18.367000000000001</v>
      </c>
      <c r="X329">
        <v>4</v>
      </c>
      <c r="Y329">
        <v>339</v>
      </c>
      <c r="Z329">
        <v>27075</v>
      </c>
    </row>
    <row r="330" spans="1:26" x14ac:dyDescent="0.25">
      <c r="A330">
        <v>2010</v>
      </c>
      <c r="B330" t="s">
        <v>63</v>
      </c>
      <c r="C330">
        <v>1363</v>
      </c>
      <c r="D330">
        <v>120459</v>
      </c>
      <c r="E330">
        <v>6381626</v>
      </c>
      <c r="F330">
        <v>6424801</v>
      </c>
      <c r="G330">
        <v>11960</v>
      </c>
      <c r="H330">
        <v>10.086</v>
      </c>
      <c r="I330">
        <v>8214</v>
      </c>
      <c r="J330">
        <v>6.9269999999999996</v>
      </c>
      <c r="K330">
        <v>696874</v>
      </c>
      <c r="L330">
        <v>250209</v>
      </c>
      <c r="M330">
        <v>446665</v>
      </c>
      <c r="N330">
        <v>3.8940000000000001</v>
      </c>
      <c r="O330">
        <v>10.847</v>
      </c>
      <c r="P330">
        <v>777388</v>
      </c>
      <c r="Q330">
        <v>190899</v>
      </c>
      <c r="R330">
        <v>586489</v>
      </c>
      <c r="S330">
        <v>2.9710000000000001</v>
      </c>
      <c r="T330">
        <v>12.1</v>
      </c>
      <c r="U330">
        <v>-80514</v>
      </c>
      <c r="V330">
        <v>-1.2529999999999999</v>
      </c>
      <c r="W330">
        <v>21.693000000000001</v>
      </c>
      <c r="X330">
        <v>0</v>
      </c>
      <c r="Y330">
        <v>0</v>
      </c>
      <c r="Z330">
        <v>0</v>
      </c>
    </row>
    <row r="331" spans="1:26" x14ac:dyDescent="0.25">
      <c r="A331">
        <v>2010</v>
      </c>
      <c r="B331" t="s">
        <v>64</v>
      </c>
      <c r="C331">
        <v>1182</v>
      </c>
      <c r="D331">
        <v>631314</v>
      </c>
      <c r="E331">
        <v>30107624</v>
      </c>
      <c r="F331">
        <v>30554873</v>
      </c>
      <c r="G331">
        <v>39278</v>
      </c>
      <c r="H331">
        <v>6.125</v>
      </c>
      <c r="I331">
        <v>59257</v>
      </c>
      <c r="J331">
        <v>9.24</v>
      </c>
      <c r="K331">
        <v>2810406</v>
      </c>
      <c r="L331">
        <v>736502</v>
      </c>
      <c r="M331">
        <v>2073904</v>
      </c>
      <c r="N331">
        <v>2.41</v>
      </c>
      <c r="O331">
        <v>9.1980000000000004</v>
      </c>
      <c r="P331">
        <v>3684500</v>
      </c>
      <c r="Q331">
        <v>1029768</v>
      </c>
      <c r="R331">
        <v>2654732</v>
      </c>
      <c r="S331">
        <v>3.37</v>
      </c>
      <c r="T331">
        <v>12.058999999999999</v>
      </c>
      <c r="U331">
        <v>-874094</v>
      </c>
      <c r="V331">
        <v>-2.8610000000000002</v>
      </c>
      <c r="W331">
        <v>18.396000000000001</v>
      </c>
      <c r="X331" t="s">
        <v>62</v>
      </c>
      <c r="Y331" t="s">
        <v>62</v>
      </c>
      <c r="Z331" t="s">
        <v>62</v>
      </c>
    </row>
    <row r="332" spans="1:26" x14ac:dyDescent="0.25">
      <c r="A332">
        <v>2011</v>
      </c>
      <c r="B332" t="s">
        <v>54</v>
      </c>
      <c r="C332">
        <v>2941566</v>
      </c>
      <c r="D332">
        <v>2947515</v>
      </c>
      <c r="E332">
        <v>6601719</v>
      </c>
      <c r="F332">
        <v>6613260</v>
      </c>
      <c r="G332">
        <v>483690</v>
      </c>
      <c r="H332">
        <v>16.350999999999999</v>
      </c>
      <c r="I332">
        <v>505144</v>
      </c>
      <c r="J332">
        <v>17.076000000000001</v>
      </c>
      <c r="K332">
        <v>1790124</v>
      </c>
      <c r="L332">
        <v>1126704</v>
      </c>
      <c r="M332">
        <v>663420</v>
      </c>
      <c r="N332">
        <v>17.036999999999999</v>
      </c>
      <c r="O332">
        <v>27.068999999999999</v>
      </c>
      <c r="P332">
        <v>1813791</v>
      </c>
      <c r="Q332">
        <v>1131361</v>
      </c>
      <c r="R332">
        <v>682430</v>
      </c>
      <c r="S332">
        <v>17.106999999999999</v>
      </c>
      <c r="T332">
        <v>27.427</v>
      </c>
      <c r="U332">
        <v>-23667</v>
      </c>
      <c r="V332">
        <v>-0.35799999999999998</v>
      </c>
      <c r="W332">
        <v>54.137</v>
      </c>
      <c r="X332">
        <v>375827</v>
      </c>
      <c r="Y332">
        <v>377929</v>
      </c>
      <c r="Z332">
        <v>883085</v>
      </c>
    </row>
    <row r="333" spans="1:26" x14ac:dyDescent="0.25">
      <c r="A333">
        <v>2011</v>
      </c>
      <c r="B333" t="s">
        <v>55</v>
      </c>
      <c r="C333">
        <v>933273</v>
      </c>
      <c r="D333">
        <v>948775</v>
      </c>
      <c r="E333">
        <v>6489409</v>
      </c>
      <c r="F333">
        <v>6532523</v>
      </c>
      <c r="G333">
        <v>33836</v>
      </c>
      <c r="H333">
        <v>3.5649999999999999</v>
      </c>
      <c r="I333">
        <v>34374</v>
      </c>
      <c r="J333">
        <v>3.6219999999999999</v>
      </c>
      <c r="K333">
        <v>1149037</v>
      </c>
      <c r="L333">
        <v>419399</v>
      </c>
      <c r="M333">
        <v>729638</v>
      </c>
      <c r="N333">
        <v>6.42</v>
      </c>
      <c r="O333">
        <v>17.588999999999999</v>
      </c>
      <c r="P333">
        <v>1234148</v>
      </c>
      <c r="Q333">
        <v>423839</v>
      </c>
      <c r="R333">
        <v>810309</v>
      </c>
      <c r="S333">
        <v>6.4880000000000004</v>
      </c>
      <c r="T333">
        <v>18.891999999999999</v>
      </c>
      <c r="U333">
        <v>-85111</v>
      </c>
      <c r="V333">
        <v>-1.3029999999999999</v>
      </c>
      <c r="W333">
        <v>35.179000000000002</v>
      </c>
      <c r="X333">
        <v>27279</v>
      </c>
      <c r="Y333">
        <v>28758</v>
      </c>
      <c r="Z333">
        <v>359246</v>
      </c>
    </row>
    <row r="334" spans="1:26" x14ac:dyDescent="0.25">
      <c r="A334">
        <v>2011</v>
      </c>
      <c r="B334" t="s">
        <v>56</v>
      </c>
      <c r="C334">
        <v>566685</v>
      </c>
      <c r="D334">
        <v>606623</v>
      </c>
      <c r="E334">
        <v>7885884</v>
      </c>
      <c r="F334">
        <v>7870152</v>
      </c>
      <c r="G334">
        <v>16745</v>
      </c>
      <c r="H334">
        <v>2.7639999999999998</v>
      </c>
      <c r="I334">
        <v>14988</v>
      </c>
      <c r="J334">
        <v>2.4740000000000002</v>
      </c>
      <c r="K334">
        <v>1165162</v>
      </c>
      <c r="L334">
        <v>360333</v>
      </c>
      <c r="M334">
        <v>804829</v>
      </c>
      <c r="N334">
        <v>4.5780000000000003</v>
      </c>
      <c r="O334">
        <v>14.805</v>
      </c>
      <c r="P334">
        <v>1132684</v>
      </c>
      <c r="Q334">
        <v>328587</v>
      </c>
      <c r="R334">
        <v>804097</v>
      </c>
      <c r="S334">
        <v>4.1749999999999998</v>
      </c>
      <c r="T334">
        <v>14.391999999999999</v>
      </c>
      <c r="U334">
        <v>32478</v>
      </c>
      <c r="V334">
        <v>0.41299999999999998</v>
      </c>
      <c r="W334">
        <v>28.783999999999999</v>
      </c>
      <c r="X334">
        <v>10592</v>
      </c>
      <c r="Y334">
        <v>12244</v>
      </c>
      <c r="Z334">
        <v>284164</v>
      </c>
    </row>
    <row r="335" spans="1:26" x14ac:dyDescent="0.25">
      <c r="A335">
        <v>2011</v>
      </c>
      <c r="B335" t="s">
        <v>57</v>
      </c>
      <c r="C335">
        <v>461738</v>
      </c>
      <c r="D335">
        <v>654085</v>
      </c>
      <c r="E335">
        <v>18595386</v>
      </c>
      <c r="F335">
        <v>18402726</v>
      </c>
      <c r="G335">
        <v>22583</v>
      </c>
      <c r="H335">
        <v>3.472</v>
      </c>
      <c r="I335">
        <v>15132</v>
      </c>
      <c r="J335">
        <v>2.327</v>
      </c>
      <c r="K335">
        <v>2376616</v>
      </c>
      <c r="L335">
        <v>660311</v>
      </c>
      <c r="M335">
        <v>1716305</v>
      </c>
      <c r="N335">
        <v>3.5880000000000001</v>
      </c>
      <c r="O335">
        <v>12.914</v>
      </c>
      <c r="P335">
        <v>1990030</v>
      </c>
      <c r="Q335">
        <v>541173</v>
      </c>
      <c r="R335">
        <v>1448857</v>
      </c>
      <c r="S335">
        <v>2.9409999999999998</v>
      </c>
      <c r="T335">
        <v>10.814</v>
      </c>
      <c r="U335">
        <v>386586</v>
      </c>
      <c r="V335">
        <v>2.101</v>
      </c>
      <c r="W335">
        <v>21.628</v>
      </c>
      <c r="X335">
        <v>5995</v>
      </c>
      <c r="Y335">
        <v>9208</v>
      </c>
      <c r="Z335">
        <v>440135</v>
      </c>
    </row>
    <row r="336" spans="1:26" x14ac:dyDescent="0.25">
      <c r="A336">
        <v>2011</v>
      </c>
      <c r="B336" t="s">
        <v>58</v>
      </c>
      <c r="C336">
        <v>80882</v>
      </c>
      <c r="D336">
        <v>355787</v>
      </c>
      <c r="E336">
        <v>15760004</v>
      </c>
      <c r="F336">
        <v>15584398</v>
      </c>
      <c r="G336">
        <v>17707</v>
      </c>
      <c r="H336">
        <v>5.0140000000000002</v>
      </c>
      <c r="I336">
        <v>12428</v>
      </c>
      <c r="J336">
        <v>3.5190000000000001</v>
      </c>
      <c r="K336">
        <v>1844829</v>
      </c>
      <c r="L336">
        <v>427992</v>
      </c>
      <c r="M336">
        <v>1416837</v>
      </c>
      <c r="N336">
        <v>2.746</v>
      </c>
      <c r="O336">
        <v>11.837999999999999</v>
      </c>
      <c r="P336">
        <v>1493723</v>
      </c>
      <c r="Q336">
        <v>326903</v>
      </c>
      <c r="R336">
        <v>1166820</v>
      </c>
      <c r="S336">
        <v>2.0979999999999999</v>
      </c>
      <c r="T336">
        <v>9.5850000000000009</v>
      </c>
      <c r="U336">
        <v>351106</v>
      </c>
      <c r="V336">
        <v>2.2530000000000001</v>
      </c>
      <c r="W336">
        <v>19.169</v>
      </c>
      <c r="X336">
        <v>467</v>
      </c>
      <c r="Y336">
        <v>1952</v>
      </c>
      <c r="Z336">
        <v>158283</v>
      </c>
    </row>
    <row r="337" spans="1:26" x14ac:dyDescent="0.25">
      <c r="A337">
        <v>2011</v>
      </c>
      <c r="B337" t="s">
        <v>59</v>
      </c>
      <c r="C337">
        <v>9411</v>
      </c>
      <c r="D337">
        <v>122050</v>
      </c>
      <c r="E337">
        <v>5923563</v>
      </c>
      <c r="F337">
        <v>5842839</v>
      </c>
      <c r="G337">
        <v>6269</v>
      </c>
      <c r="H337">
        <v>5.1529999999999996</v>
      </c>
      <c r="I337">
        <v>5472</v>
      </c>
      <c r="J337">
        <v>4.4980000000000002</v>
      </c>
      <c r="K337">
        <v>685213</v>
      </c>
      <c r="L337">
        <v>147444</v>
      </c>
      <c r="M337">
        <v>537769</v>
      </c>
      <c r="N337">
        <v>2.5230000000000001</v>
      </c>
      <c r="O337">
        <v>11.727</v>
      </c>
      <c r="P337">
        <v>523115</v>
      </c>
      <c r="Q337">
        <v>105820</v>
      </c>
      <c r="R337">
        <v>417295</v>
      </c>
      <c r="S337">
        <v>1.8109999999999999</v>
      </c>
      <c r="T337">
        <v>8.9529999999999994</v>
      </c>
      <c r="U337">
        <v>162098</v>
      </c>
      <c r="V337">
        <v>2.774</v>
      </c>
      <c r="W337">
        <v>17.905999999999999</v>
      </c>
      <c r="X337">
        <v>15</v>
      </c>
      <c r="Y337">
        <v>191</v>
      </c>
      <c r="Z337">
        <v>19059</v>
      </c>
    </row>
    <row r="338" spans="1:26" x14ac:dyDescent="0.25">
      <c r="A338">
        <v>2011</v>
      </c>
      <c r="B338" t="s">
        <v>60</v>
      </c>
      <c r="C338">
        <v>5948</v>
      </c>
      <c r="D338">
        <v>149614</v>
      </c>
      <c r="E338">
        <v>8091108</v>
      </c>
      <c r="F338">
        <v>8000045</v>
      </c>
      <c r="G338">
        <v>9966</v>
      </c>
      <c r="H338">
        <v>6.7329999999999997</v>
      </c>
      <c r="I338">
        <v>6766</v>
      </c>
      <c r="J338">
        <v>4.5709999999999997</v>
      </c>
      <c r="K338">
        <v>886014</v>
      </c>
      <c r="L338">
        <v>207404</v>
      </c>
      <c r="M338">
        <v>678610</v>
      </c>
      <c r="N338">
        <v>2.593</v>
      </c>
      <c r="O338">
        <v>11.074999999999999</v>
      </c>
      <c r="P338">
        <v>705123</v>
      </c>
      <c r="Q338">
        <v>176094</v>
      </c>
      <c r="R338">
        <v>529029</v>
      </c>
      <c r="S338">
        <v>2.2010000000000001</v>
      </c>
      <c r="T338">
        <v>8.8140000000000001</v>
      </c>
      <c r="U338">
        <v>180891</v>
      </c>
      <c r="V338">
        <v>2.2610000000000001</v>
      </c>
      <c r="W338">
        <v>17.628</v>
      </c>
      <c r="X338">
        <v>12</v>
      </c>
      <c r="Y338">
        <v>148</v>
      </c>
      <c r="Z338">
        <v>31053</v>
      </c>
    </row>
    <row r="339" spans="1:26" x14ac:dyDescent="0.25">
      <c r="A339">
        <v>2011</v>
      </c>
      <c r="B339" t="s">
        <v>61</v>
      </c>
      <c r="C339">
        <v>2273</v>
      </c>
      <c r="D339">
        <v>121152</v>
      </c>
      <c r="E339">
        <v>6231376</v>
      </c>
      <c r="F339">
        <v>6183383</v>
      </c>
      <c r="G339">
        <v>7606</v>
      </c>
      <c r="H339">
        <v>6.29</v>
      </c>
      <c r="I339">
        <v>7146</v>
      </c>
      <c r="J339">
        <v>5.91</v>
      </c>
      <c r="K339">
        <v>634335</v>
      </c>
      <c r="L339">
        <v>154569</v>
      </c>
      <c r="M339">
        <v>479766</v>
      </c>
      <c r="N339">
        <v>2.5</v>
      </c>
      <c r="O339">
        <v>10.259</v>
      </c>
      <c r="P339">
        <v>537804</v>
      </c>
      <c r="Q339">
        <v>136423</v>
      </c>
      <c r="R339">
        <v>401381</v>
      </c>
      <c r="S339">
        <v>2.206</v>
      </c>
      <c r="T339">
        <v>8.6980000000000004</v>
      </c>
      <c r="U339">
        <v>96531</v>
      </c>
      <c r="V339">
        <v>1.5609999999999999</v>
      </c>
      <c r="W339">
        <v>17.395</v>
      </c>
      <c r="X339" t="s">
        <v>62</v>
      </c>
      <c r="Y339" t="s">
        <v>62</v>
      </c>
      <c r="Z339" t="s">
        <v>62</v>
      </c>
    </row>
    <row r="340" spans="1:26" x14ac:dyDescent="0.25">
      <c r="A340">
        <v>2011</v>
      </c>
      <c r="B340" t="s">
        <v>63</v>
      </c>
      <c r="C340">
        <v>1285</v>
      </c>
      <c r="D340">
        <v>121011</v>
      </c>
      <c r="E340">
        <v>6477381</v>
      </c>
      <c r="F340">
        <v>6404590</v>
      </c>
      <c r="G340">
        <v>11843</v>
      </c>
      <c r="H340">
        <v>9.9480000000000004</v>
      </c>
      <c r="I340">
        <v>7927</v>
      </c>
      <c r="J340">
        <v>6.6580000000000004</v>
      </c>
      <c r="K340">
        <v>741093</v>
      </c>
      <c r="L340">
        <v>212851</v>
      </c>
      <c r="M340">
        <v>528242</v>
      </c>
      <c r="N340">
        <v>3.323</v>
      </c>
      <c r="O340">
        <v>11.571</v>
      </c>
      <c r="P340">
        <v>591346</v>
      </c>
      <c r="Q340">
        <v>164662</v>
      </c>
      <c r="R340">
        <v>426684</v>
      </c>
      <c r="S340">
        <v>2.5710000000000002</v>
      </c>
      <c r="T340">
        <v>9.2330000000000005</v>
      </c>
      <c r="U340">
        <v>149747</v>
      </c>
      <c r="V340">
        <v>2.3380000000000001</v>
      </c>
      <c r="W340">
        <v>18.466000000000001</v>
      </c>
      <c r="X340" t="s">
        <v>62</v>
      </c>
      <c r="Y340" t="s">
        <v>62</v>
      </c>
      <c r="Z340" t="s">
        <v>62</v>
      </c>
    </row>
    <row r="341" spans="1:26" x14ac:dyDescent="0.25">
      <c r="A341">
        <v>2011</v>
      </c>
      <c r="B341" t="s">
        <v>64</v>
      </c>
      <c r="C341">
        <v>1065</v>
      </c>
      <c r="D341">
        <v>638908</v>
      </c>
      <c r="E341">
        <v>30789372</v>
      </c>
      <c r="F341">
        <v>30636084</v>
      </c>
      <c r="G341">
        <v>48882</v>
      </c>
      <c r="H341">
        <v>7.625</v>
      </c>
      <c r="I341">
        <v>53207</v>
      </c>
      <c r="J341">
        <v>8.3000000000000007</v>
      </c>
      <c r="K341">
        <v>3457151</v>
      </c>
      <c r="L341">
        <v>844029</v>
      </c>
      <c r="M341">
        <v>2613122</v>
      </c>
      <c r="N341">
        <v>2.7549999999999999</v>
      </c>
      <c r="O341">
        <v>11.285</v>
      </c>
      <c r="P341">
        <v>3146318</v>
      </c>
      <c r="Q341">
        <v>901598</v>
      </c>
      <c r="R341">
        <v>2244720</v>
      </c>
      <c r="S341">
        <v>2.9430000000000001</v>
      </c>
      <c r="T341">
        <v>10.27</v>
      </c>
      <c r="U341">
        <v>310833</v>
      </c>
      <c r="V341">
        <v>1.0149999999999999</v>
      </c>
      <c r="W341">
        <v>20.54</v>
      </c>
      <c r="X341" t="s">
        <v>62</v>
      </c>
      <c r="Y341" t="s">
        <v>62</v>
      </c>
      <c r="Z341" t="s">
        <v>62</v>
      </c>
    </row>
    <row r="342" spans="1:26" x14ac:dyDescent="0.25">
      <c r="A342">
        <v>2012</v>
      </c>
      <c r="B342" t="s">
        <v>54</v>
      </c>
      <c r="C342">
        <v>2984304</v>
      </c>
      <c r="D342">
        <v>2988181</v>
      </c>
      <c r="E342">
        <v>6710167</v>
      </c>
      <c r="F342">
        <v>6617318</v>
      </c>
      <c r="G342">
        <v>499119</v>
      </c>
      <c r="H342">
        <v>16.838000000000001</v>
      </c>
      <c r="I342">
        <v>451376</v>
      </c>
      <c r="J342">
        <v>15.227</v>
      </c>
      <c r="K342">
        <v>1853909</v>
      </c>
      <c r="L342">
        <v>1161000</v>
      </c>
      <c r="M342">
        <v>692909</v>
      </c>
      <c r="N342">
        <v>17.545000000000002</v>
      </c>
      <c r="O342">
        <v>28.015999999999998</v>
      </c>
      <c r="P342">
        <v>1667071</v>
      </c>
      <c r="Q342">
        <v>1029254</v>
      </c>
      <c r="R342">
        <v>637817</v>
      </c>
      <c r="S342">
        <v>15.554</v>
      </c>
      <c r="T342">
        <v>25.193000000000001</v>
      </c>
      <c r="U342">
        <v>186838</v>
      </c>
      <c r="V342">
        <v>2.823</v>
      </c>
      <c r="W342">
        <v>50.384999999999998</v>
      </c>
      <c r="X342">
        <v>337547</v>
      </c>
      <c r="Y342">
        <v>339531</v>
      </c>
      <c r="Z342">
        <v>813211</v>
      </c>
    </row>
    <row r="343" spans="1:26" x14ac:dyDescent="0.25">
      <c r="A343">
        <v>2012</v>
      </c>
      <c r="B343" t="s">
        <v>55</v>
      </c>
      <c r="C343">
        <v>933527</v>
      </c>
      <c r="D343">
        <v>946141</v>
      </c>
      <c r="E343">
        <v>6564141</v>
      </c>
      <c r="F343">
        <v>6511475</v>
      </c>
      <c r="G343">
        <v>33094</v>
      </c>
      <c r="H343">
        <v>3.496</v>
      </c>
      <c r="I343">
        <v>33953</v>
      </c>
      <c r="J343">
        <v>3.5870000000000002</v>
      </c>
      <c r="K343">
        <v>1164094</v>
      </c>
      <c r="L343">
        <v>407822</v>
      </c>
      <c r="M343">
        <v>756272</v>
      </c>
      <c r="N343">
        <v>6.2629999999999999</v>
      </c>
      <c r="O343">
        <v>17.878</v>
      </c>
      <c r="P343">
        <v>1059043</v>
      </c>
      <c r="Q343">
        <v>389524</v>
      </c>
      <c r="R343">
        <v>669519</v>
      </c>
      <c r="S343">
        <v>5.9820000000000002</v>
      </c>
      <c r="T343">
        <v>16.263999999999999</v>
      </c>
      <c r="U343">
        <v>105051</v>
      </c>
      <c r="V343">
        <v>1.613</v>
      </c>
      <c r="W343">
        <v>32.529000000000003</v>
      </c>
      <c r="X343">
        <v>24754</v>
      </c>
      <c r="Y343">
        <v>26128</v>
      </c>
      <c r="Z343">
        <v>328303</v>
      </c>
    </row>
    <row r="344" spans="1:26" x14ac:dyDescent="0.25">
      <c r="A344">
        <v>2012</v>
      </c>
      <c r="B344" t="s">
        <v>56</v>
      </c>
      <c r="C344">
        <v>561093</v>
      </c>
      <c r="D344">
        <v>597405</v>
      </c>
      <c r="E344">
        <v>7923341</v>
      </c>
      <c r="F344">
        <v>7809343</v>
      </c>
      <c r="G344">
        <v>19457</v>
      </c>
      <c r="H344">
        <v>3.2589999999999999</v>
      </c>
      <c r="I344">
        <v>18822</v>
      </c>
      <c r="J344">
        <v>3.1520000000000001</v>
      </c>
      <c r="K344">
        <v>1261676</v>
      </c>
      <c r="L344">
        <v>407950</v>
      </c>
      <c r="M344">
        <v>853726</v>
      </c>
      <c r="N344">
        <v>5.2240000000000002</v>
      </c>
      <c r="O344">
        <v>16.155999999999999</v>
      </c>
      <c r="P344">
        <v>1032919</v>
      </c>
      <c r="Q344">
        <v>351066</v>
      </c>
      <c r="R344">
        <v>681853</v>
      </c>
      <c r="S344">
        <v>4.4950000000000001</v>
      </c>
      <c r="T344">
        <v>13.227</v>
      </c>
      <c r="U344">
        <v>228757</v>
      </c>
      <c r="V344">
        <v>2.9289999999999998</v>
      </c>
      <c r="W344">
        <v>26.452999999999999</v>
      </c>
      <c r="X344">
        <v>10636</v>
      </c>
      <c r="Y344">
        <v>12218</v>
      </c>
      <c r="Z344">
        <v>287287</v>
      </c>
    </row>
    <row r="345" spans="1:26" x14ac:dyDescent="0.25">
      <c r="A345">
        <v>2012</v>
      </c>
      <c r="B345" t="s">
        <v>57</v>
      </c>
      <c r="C345">
        <v>470829</v>
      </c>
      <c r="D345">
        <v>659466</v>
      </c>
      <c r="E345">
        <v>19115506</v>
      </c>
      <c r="F345">
        <v>18781224</v>
      </c>
      <c r="G345">
        <v>24343</v>
      </c>
      <c r="H345">
        <v>3.6930000000000001</v>
      </c>
      <c r="I345">
        <v>23871</v>
      </c>
      <c r="J345">
        <v>3.621</v>
      </c>
      <c r="K345">
        <v>2758781</v>
      </c>
      <c r="L345">
        <v>760887</v>
      </c>
      <c r="M345">
        <v>1997894</v>
      </c>
      <c r="N345">
        <v>4.0510000000000002</v>
      </c>
      <c r="O345">
        <v>14.689</v>
      </c>
      <c r="P345">
        <v>2088813</v>
      </c>
      <c r="Q345">
        <v>635044</v>
      </c>
      <c r="R345">
        <v>1453769</v>
      </c>
      <c r="S345">
        <v>3.3809999999999998</v>
      </c>
      <c r="T345">
        <v>11.122</v>
      </c>
      <c r="U345">
        <v>669968</v>
      </c>
      <c r="V345">
        <v>3.5670000000000002</v>
      </c>
      <c r="W345">
        <v>22.244</v>
      </c>
      <c r="X345">
        <v>6097</v>
      </c>
      <c r="Y345">
        <v>9370</v>
      </c>
      <c r="Z345">
        <v>441610</v>
      </c>
    </row>
    <row r="346" spans="1:26" x14ac:dyDescent="0.25">
      <c r="A346">
        <v>2012</v>
      </c>
      <c r="B346" t="s">
        <v>58</v>
      </c>
      <c r="C346">
        <v>81456</v>
      </c>
      <c r="D346">
        <v>352286</v>
      </c>
      <c r="E346">
        <v>15993727</v>
      </c>
      <c r="F346">
        <v>15752466</v>
      </c>
      <c r="G346">
        <v>15814</v>
      </c>
      <c r="H346">
        <v>4.484</v>
      </c>
      <c r="I346">
        <v>16603</v>
      </c>
      <c r="J346">
        <v>4.7080000000000002</v>
      </c>
      <c r="K346">
        <v>2089763</v>
      </c>
      <c r="L346">
        <v>449355</v>
      </c>
      <c r="M346">
        <v>1640408</v>
      </c>
      <c r="N346">
        <v>2.8530000000000002</v>
      </c>
      <c r="O346">
        <v>13.266</v>
      </c>
      <c r="P346">
        <v>1610561</v>
      </c>
      <c r="Q346">
        <v>410464</v>
      </c>
      <c r="R346">
        <v>1200097</v>
      </c>
      <c r="S346">
        <v>2.6059999999999999</v>
      </c>
      <c r="T346">
        <v>10.224</v>
      </c>
      <c r="U346">
        <v>479202</v>
      </c>
      <c r="V346">
        <v>3.0419999999999998</v>
      </c>
      <c r="W346">
        <v>20.448</v>
      </c>
      <c r="X346">
        <v>519</v>
      </c>
      <c r="Y346">
        <v>2315</v>
      </c>
      <c r="Z346">
        <v>186036</v>
      </c>
    </row>
    <row r="347" spans="1:26" x14ac:dyDescent="0.25">
      <c r="A347">
        <v>2012</v>
      </c>
      <c r="B347" t="s">
        <v>59</v>
      </c>
      <c r="C347">
        <v>9896</v>
      </c>
      <c r="D347">
        <v>125286</v>
      </c>
      <c r="E347">
        <v>6231256</v>
      </c>
      <c r="F347">
        <v>6125817</v>
      </c>
      <c r="G347">
        <v>6498</v>
      </c>
      <c r="H347">
        <v>5.1970000000000001</v>
      </c>
      <c r="I347">
        <v>6013</v>
      </c>
      <c r="J347">
        <v>4.8090000000000002</v>
      </c>
      <c r="K347">
        <v>778205</v>
      </c>
      <c r="L347">
        <v>153639</v>
      </c>
      <c r="M347">
        <v>624566</v>
      </c>
      <c r="N347">
        <v>2.508</v>
      </c>
      <c r="O347">
        <v>12.704000000000001</v>
      </c>
      <c r="P347">
        <v>568217</v>
      </c>
      <c r="Q347">
        <v>128470</v>
      </c>
      <c r="R347">
        <v>439747</v>
      </c>
      <c r="S347">
        <v>2.097</v>
      </c>
      <c r="T347">
        <v>9.2759999999999998</v>
      </c>
      <c r="U347">
        <v>209988</v>
      </c>
      <c r="V347">
        <v>3.4279999999999999</v>
      </c>
      <c r="W347">
        <v>18.552</v>
      </c>
      <c r="X347">
        <v>27</v>
      </c>
      <c r="Y347">
        <v>234</v>
      </c>
      <c r="Z347">
        <v>37201</v>
      </c>
    </row>
    <row r="348" spans="1:26" x14ac:dyDescent="0.25">
      <c r="A348">
        <v>2012</v>
      </c>
      <c r="B348" t="s">
        <v>60</v>
      </c>
      <c r="C348">
        <v>6131</v>
      </c>
      <c r="D348">
        <v>148595</v>
      </c>
      <c r="E348">
        <v>8243565</v>
      </c>
      <c r="F348">
        <v>8131761</v>
      </c>
      <c r="G348">
        <v>9480</v>
      </c>
      <c r="H348">
        <v>6.4169999999999998</v>
      </c>
      <c r="I348">
        <v>7757</v>
      </c>
      <c r="J348">
        <v>5.2510000000000003</v>
      </c>
      <c r="K348">
        <v>963182</v>
      </c>
      <c r="L348">
        <v>211882</v>
      </c>
      <c r="M348">
        <v>751300</v>
      </c>
      <c r="N348">
        <v>2.6059999999999999</v>
      </c>
      <c r="O348">
        <v>11.845000000000001</v>
      </c>
      <c r="P348">
        <v>736919</v>
      </c>
      <c r="Q348">
        <v>205376</v>
      </c>
      <c r="R348">
        <v>531543</v>
      </c>
      <c r="S348">
        <v>2.5259999999999998</v>
      </c>
      <c r="T348">
        <v>9.0619999999999994</v>
      </c>
      <c r="U348">
        <v>226263</v>
      </c>
      <c r="V348">
        <v>2.782</v>
      </c>
      <c r="W348">
        <v>18.123999999999999</v>
      </c>
      <c r="X348">
        <v>14</v>
      </c>
      <c r="Y348">
        <v>34</v>
      </c>
      <c r="Z348">
        <v>46017</v>
      </c>
    </row>
    <row r="349" spans="1:26" x14ac:dyDescent="0.25">
      <c r="A349">
        <v>2012</v>
      </c>
      <c r="B349" t="s">
        <v>61</v>
      </c>
      <c r="C349">
        <v>2352</v>
      </c>
      <c r="D349">
        <v>122662</v>
      </c>
      <c r="E349">
        <v>6330819</v>
      </c>
      <c r="F349">
        <v>6244615</v>
      </c>
      <c r="G349">
        <v>6642</v>
      </c>
      <c r="H349">
        <v>5.4169999999999998</v>
      </c>
      <c r="I349">
        <v>6553</v>
      </c>
      <c r="J349">
        <v>5.3440000000000003</v>
      </c>
      <c r="K349">
        <v>721627</v>
      </c>
      <c r="L349">
        <v>154595</v>
      </c>
      <c r="M349">
        <v>567032</v>
      </c>
      <c r="N349">
        <v>2.476</v>
      </c>
      <c r="O349">
        <v>11.555999999999999</v>
      </c>
      <c r="P349">
        <v>545954</v>
      </c>
      <c r="Q349">
        <v>128100</v>
      </c>
      <c r="R349">
        <v>417854</v>
      </c>
      <c r="S349">
        <v>2.0510000000000002</v>
      </c>
      <c r="T349">
        <v>8.7430000000000003</v>
      </c>
      <c r="U349">
        <v>175673</v>
      </c>
      <c r="V349">
        <v>2.8130000000000002</v>
      </c>
      <c r="W349">
        <v>17.486000000000001</v>
      </c>
      <c r="X349" t="s">
        <v>62</v>
      </c>
      <c r="Y349" t="s">
        <v>62</v>
      </c>
      <c r="Z349" t="s">
        <v>62</v>
      </c>
    </row>
    <row r="350" spans="1:26" x14ac:dyDescent="0.25">
      <c r="A350">
        <v>2012</v>
      </c>
      <c r="B350" t="s">
        <v>63</v>
      </c>
      <c r="C350">
        <v>1326</v>
      </c>
      <c r="D350">
        <v>121100</v>
      </c>
      <c r="E350">
        <v>6738164</v>
      </c>
      <c r="F350">
        <v>6681766</v>
      </c>
      <c r="G350">
        <v>8672</v>
      </c>
      <c r="H350">
        <v>7.1369999999999996</v>
      </c>
      <c r="I350">
        <v>9483</v>
      </c>
      <c r="J350">
        <v>7.8049999999999997</v>
      </c>
      <c r="K350">
        <v>783525</v>
      </c>
      <c r="L350">
        <v>187566</v>
      </c>
      <c r="M350">
        <v>595959</v>
      </c>
      <c r="N350">
        <v>2.8069999999999999</v>
      </c>
      <c r="O350">
        <v>11.726000000000001</v>
      </c>
      <c r="P350">
        <v>672958</v>
      </c>
      <c r="Q350">
        <v>213451</v>
      </c>
      <c r="R350">
        <v>459507</v>
      </c>
      <c r="S350">
        <v>3.1949999999999998</v>
      </c>
      <c r="T350">
        <v>10.071999999999999</v>
      </c>
      <c r="U350">
        <v>110567</v>
      </c>
      <c r="V350">
        <v>1.655</v>
      </c>
      <c r="W350">
        <v>20.143000000000001</v>
      </c>
      <c r="X350">
        <v>4</v>
      </c>
      <c r="Y350">
        <v>2088</v>
      </c>
      <c r="Z350">
        <v>56316</v>
      </c>
    </row>
    <row r="351" spans="1:26" x14ac:dyDescent="0.25">
      <c r="A351">
        <v>2012</v>
      </c>
      <c r="B351" t="s">
        <v>64</v>
      </c>
      <c r="C351">
        <v>1117</v>
      </c>
      <c r="D351">
        <v>649450</v>
      </c>
      <c r="E351">
        <v>31463326</v>
      </c>
      <c r="F351">
        <v>31431752</v>
      </c>
      <c r="G351">
        <v>46864</v>
      </c>
      <c r="H351">
        <v>7.2009999999999996</v>
      </c>
      <c r="I351">
        <v>49638</v>
      </c>
      <c r="J351">
        <v>7.6269999999999998</v>
      </c>
      <c r="K351">
        <v>3363656</v>
      </c>
      <c r="L351">
        <v>804139</v>
      </c>
      <c r="M351">
        <v>2559517</v>
      </c>
      <c r="N351">
        <v>2.5579999999999998</v>
      </c>
      <c r="O351">
        <v>10.701000000000001</v>
      </c>
      <c r="P351">
        <v>3291964</v>
      </c>
      <c r="Q351">
        <v>901724</v>
      </c>
      <c r="R351">
        <v>2390240</v>
      </c>
      <c r="S351">
        <v>2.8690000000000002</v>
      </c>
      <c r="T351">
        <v>10.473000000000001</v>
      </c>
      <c r="U351">
        <v>71692</v>
      </c>
      <c r="V351">
        <v>0.22800000000000001</v>
      </c>
      <c r="W351">
        <v>20.946999999999999</v>
      </c>
      <c r="X351">
        <v>0</v>
      </c>
      <c r="Y351">
        <v>0</v>
      </c>
      <c r="Z351">
        <v>0</v>
      </c>
    </row>
    <row r="352" spans="1:26" x14ac:dyDescent="0.25">
      <c r="A352">
        <v>2013</v>
      </c>
      <c r="B352" t="s">
        <v>54</v>
      </c>
      <c r="C352">
        <v>2988244</v>
      </c>
      <c r="D352">
        <v>2992014</v>
      </c>
      <c r="E352">
        <v>6674218</v>
      </c>
      <c r="F352">
        <v>6635682</v>
      </c>
      <c r="G352">
        <v>480518</v>
      </c>
      <c r="H352">
        <v>16.126000000000001</v>
      </c>
      <c r="I352">
        <v>456153</v>
      </c>
      <c r="J352">
        <v>15.308</v>
      </c>
      <c r="K352">
        <v>1780360</v>
      </c>
      <c r="L352">
        <v>1109545</v>
      </c>
      <c r="M352">
        <v>670815</v>
      </c>
      <c r="N352">
        <v>16.721</v>
      </c>
      <c r="O352">
        <v>26.83</v>
      </c>
      <c r="P352">
        <v>1701208</v>
      </c>
      <c r="Q352">
        <v>1047274</v>
      </c>
      <c r="R352">
        <v>653934</v>
      </c>
      <c r="S352">
        <v>15.782</v>
      </c>
      <c r="T352">
        <v>25.637</v>
      </c>
      <c r="U352">
        <v>79152</v>
      </c>
      <c r="V352">
        <v>1.1930000000000001</v>
      </c>
      <c r="W352">
        <v>51.274999999999999</v>
      </c>
      <c r="X352">
        <v>342477</v>
      </c>
      <c r="Y352">
        <v>343504</v>
      </c>
      <c r="Z352">
        <v>825418</v>
      </c>
    </row>
    <row r="353" spans="1:26" x14ac:dyDescent="0.25">
      <c r="A353">
        <v>2013</v>
      </c>
      <c r="B353" t="s">
        <v>55</v>
      </c>
      <c r="C353">
        <v>936743</v>
      </c>
      <c r="D353">
        <v>948462</v>
      </c>
      <c r="E353">
        <v>6581566</v>
      </c>
      <c r="F353">
        <v>6527215</v>
      </c>
      <c r="G353">
        <v>32747</v>
      </c>
      <c r="H353">
        <v>3.4580000000000002</v>
      </c>
      <c r="I353">
        <v>29988</v>
      </c>
      <c r="J353">
        <v>3.1659999999999999</v>
      </c>
      <c r="K353">
        <v>1128795</v>
      </c>
      <c r="L353">
        <v>404446</v>
      </c>
      <c r="M353">
        <v>724349</v>
      </c>
      <c r="N353">
        <v>6.1959999999999997</v>
      </c>
      <c r="O353">
        <v>17.294</v>
      </c>
      <c r="P353">
        <v>1019855</v>
      </c>
      <c r="Q353">
        <v>369830</v>
      </c>
      <c r="R353">
        <v>650025</v>
      </c>
      <c r="S353">
        <v>5.6660000000000004</v>
      </c>
      <c r="T353">
        <v>15.625</v>
      </c>
      <c r="U353">
        <v>108940</v>
      </c>
      <c r="V353">
        <v>1.669</v>
      </c>
      <c r="W353">
        <v>31.248999999999999</v>
      </c>
      <c r="X353">
        <v>24146</v>
      </c>
      <c r="Y353">
        <v>25263</v>
      </c>
      <c r="Z353">
        <v>320455</v>
      </c>
    </row>
    <row r="354" spans="1:26" x14ac:dyDescent="0.25">
      <c r="A354">
        <v>2013</v>
      </c>
      <c r="B354" t="s">
        <v>56</v>
      </c>
      <c r="C354">
        <v>566225</v>
      </c>
      <c r="D354">
        <v>601658</v>
      </c>
      <c r="E354">
        <v>7973957</v>
      </c>
      <c r="F354">
        <v>7882191</v>
      </c>
      <c r="G354">
        <v>19034</v>
      </c>
      <c r="H354">
        <v>3.1720000000000002</v>
      </c>
      <c r="I354">
        <v>15948</v>
      </c>
      <c r="J354">
        <v>2.657</v>
      </c>
      <c r="K354">
        <v>1208823</v>
      </c>
      <c r="L354">
        <v>392347</v>
      </c>
      <c r="M354">
        <v>816476</v>
      </c>
      <c r="N354">
        <v>4.9779999999999998</v>
      </c>
      <c r="O354">
        <v>15.336</v>
      </c>
      <c r="P354">
        <v>1023728</v>
      </c>
      <c r="Q354">
        <v>336365</v>
      </c>
      <c r="R354">
        <v>687363</v>
      </c>
      <c r="S354">
        <v>4.2670000000000003</v>
      </c>
      <c r="T354">
        <v>12.988</v>
      </c>
      <c r="U354">
        <v>185095</v>
      </c>
      <c r="V354">
        <v>2.3479999999999999</v>
      </c>
      <c r="W354">
        <v>25.975999999999999</v>
      </c>
      <c r="X354">
        <v>10688</v>
      </c>
      <c r="Y354">
        <v>12100</v>
      </c>
      <c r="Z354">
        <v>287848</v>
      </c>
    </row>
    <row r="355" spans="1:26" x14ac:dyDescent="0.25">
      <c r="A355">
        <v>2013</v>
      </c>
      <c r="B355" t="s">
        <v>57</v>
      </c>
      <c r="C355">
        <v>479824</v>
      </c>
      <c r="D355">
        <v>666552</v>
      </c>
      <c r="E355">
        <v>19368514</v>
      </c>
      <c r="F355">
        <v>19154334</v>
      </c>
      <c r="G355">
        <v>22988</v>
      </c>
      <c r="H355">
        <v>3.4569999999999999</v>
      </c>
      <c r="I355">
        <v>19808</v>
      </c>
      <c r="J355">
        <v>2.9790000000000001</v>
      </c>
      <c r="K355">
        <v>2507067</v>
      </c>
      <c r="L355">
        <v>675372</v>
      </c>
      <c r="M355">
        <v>1831695</v>
      </c>
      <c r="N355">
        <v>3.5259999999999998</v>
      </c>
      <c r="O355">
        <v>13.089</v>
      </c>
      <c r="P355">
        <v>2075739</v>
      </c>
      <c r="Q355">
        <v>612285</v>
      </c>
      <c r="R355">
        <v>1463454</v>
      </c>
      <c r="S355">
        <v>3.1970000000000001</v>
      </c>
      <c r="T355">
        <v>10.837</v>
      </c>
      <c r="U355">
        <v>431328</v>
      </c>
      <c r="V355">
        <v>2.2519999999999998</v>
      </c>
      <c r="W355">
        <v>21.673999999999999</v>
      </c>
      <c r="X355">
        <v>6362</v>
      </c>
      <c r="Y355">
        <v>8776</v>
      </c>
      <c r="Z355">
        <v>466328</v>
      </c>
    </row>
    <row r="356" spans="1:26" x14ac:dyDescent="0.25">
      <c r="A356">
        <v>2013</v>
      </c>
      <c r="B356" t="s">
        <v>58</v>
      </c>
      <c r="C356">
        <v>83596</v>
      </c>
      <c r="D356">
        <v>354652</v>
      </c>
      <c r="E356">
        <v>16404532</v>
      </c>
      <c r="F356">
        <v>16159795</v>
      </c>
      <c r="G356">
        <v>16421</v>
      </c>
      <c r="H356">
        <v>4.6459999999999999</v>
      </c>
      <c r="I356">
        <v>13995</v>
      </c>
      <c r="J356">
        <v>3.96</v>
      </c>
      <c r="K356">
        <v>2018530</v>
      </c>
      <c r="L356">
        <v>422879</v>
      </c>
      <c r="M356">
        <v>1595651</v>
      </c>
      <c r="N356">
        <v>2.617</v>
      </c>
      <c r="O356">
        <v>12.491</v>
      </c>
      <c r="P356">
        <v>1527725</v>
      </c>
      <c r="Q356">
        <v>413889</v>
      </c>
      <c r="R356">
        <v>1113836</v>
      </c>
      <c r="S356">
        <v>2.5609999999999999</v>
      </c>
      <c r="T356">
        <v>9.4540000000000006</v>
      </c>
      <c r="U356">
        <v>490805</v>
      </c>
      <c r="V356">
        <v>3.0369999999999999</v>
      </c>
      <c r="W356">
        <v>18.908000000000001</v>
      </c>
      <c r="X356">
        <v>592</v>
      </c>
      <c r="Y356">
        <v>1384</v>
      </c>
      <c r="Z356">
        <v>205512</v>
      </c>
    </row>
    <row r="357" spans="1:26" x14ac:dyDescent="0.25">
      <c r="A357">
        <v>2013</v>
      </c>
      <c r="B357" t="s">
        <v>59</v>
      </c>
      <c r="C357">
        <v>10097</v>
      </c>
      <c r="D357">
        <v>124807</v>
      </c>
      <c r="E357">
        <v>6336147</v>
      </c>
      <c r="F357">
        <v>6266138</v>
      </c>
      <c r="G357">
        <v>6833</v>
      </c>
      <c r="H357">
        <v>5.4960000000000004</v>
      </c>
      <c r="I357">
        <v>5873</v>
      </c>
      <c r="J357">
        <v>4.7240000000000002</v>
      </c>
      <c r="K357">
        <v>769894</v>
      </c>
      <c r="L357">
        <v>154485</v>
      </c>
      <c r="M357">
        <v>615409</v>
      </c>
      <c r="N357">
        <v>2.4649999999999999</v>
      </c>
      <c r="O357">
        <v>12.287000000000001</v>
      </c>
      <c r="P357">
        <v>628428</v>
      </c>
      <c r="Q357">
        <v>163071</v>
      </c>
      <c r="R357">
        <v>465357</v>
      </c>
      <c r="S357">
        <v>2.6019999999999999</v>
      </c>
      <c r="T357">
        <v>10.029</v>
      </c>
      <c r="U357">
        <v>141466</v>
      </c>
      <c r="V357">
        <v>2.258</v>
      </c>
      <c r="W357">
        <v>20.058</v>
      </c>
      <c r="X357">
        <v>37</v>
      </c>
      <c r="Y357">
        <v>400</v>
      </c>
      <c r="Z357">
        <v>51735</v>
      </c>
    </row>
    <row r="358" spans="1:26" x14ac:dyDescent="0.25">
      <c r="A358">
        <v>2013</v>
      </c>
      <c r="B358" t="s">
        <v>60</v>
      </c>
      <c r="C358">
        <v>6336</v>
      </c>
      <c r="D358">
        <v>148319</v>
      </c>
      <c r="E358">
        <v>8259472</v>
      </c>
      <c r="F358">
        <v>8163157</v>
      </c>
      <c r="G358">
        <v>9980</v>
      </c>
      <c r="H358">
        <v>6.758</v>
      </c>
      <c r="I358">
        <v>8709</v>
      </c>
      <c r="J358">
        <v>5.8970000000000002</v>
      </c>
      <c r="K358">
        <v>967796</v>
      </c>
      <c r="L358">
        <v>234903</v>
      </c>
      <c r="M358">
        <v>732893</v>
      </c>
      <c r="N358">
        <v>2.8780000000000001</v>
      </c>
      <c r="O358">
        <v>11.856</v>
      </c>
      <c r="P358">
        <v>775083</v>
      </c>
      <c r="Q358">
        <v>199199</v>
      </c>
      <c r="R358">
        <v>575884</v>
      </c>
      <c r="S358">
        <v>2.44</v>
      </c>
      <c r="T358">
        <v>9.4949999999999992</v>
      </c>
      <c r="U358">
        <v>192713</v>
      </c>
      <c r="V358">
        <v>2.3610000000000002</v>
      </c>
      <c r="W358">
        <v>18.989999999999998</v>
      </c>
      <c r="X358">
        <v>14</v>
      </c>
      <c r="Y358">
        <v>615</v>
      </c>
      <c r="Z358">
        <v>41112</v>
      </c>
    </row>
    <row r="359" spans="1:26" x14ac:dyDescent="0.25">
      <c r="A359">
        <v>2013</v>
      </c>
      <c r="B359" t="s">
        <v>61</v>
      </c>
      <c r="C359">
        <v>2452</v>
      </c>
      <c r="D359">
        <v>132110</v>
      </c>
      <c r="E359">
        <v>6724298</v>
      </c>
      <c r="F359">
        <v>6654736</v>
      </c>
      <c r="G359">
        <v>9117</v>
      </c>
      <c r="H359">
        <v>6.9470000000000001</v>
      </c>
      <c r="I359">
        <v>7358</v>
      </c>
      <c r="J359">
        <v>5.6070000000000002</v>
      </c>
      <c r="K359">
        <v>789412</v>
      </c>
      <c r="L359">
        <v>190333</v>
      </c>
      <c r="M359">
        <v>599079</v>
      </c>
      <c r="N359">
        <v>2.86</v>
      </c>
      <c r="O359">
        <v>11.862</v>
      </c>
      <c r="P359">
        <v>649889</v>
      </c>
      <c r="Q359">
        <v>168422</v>
      </c>
      <c r="R359">
        <v>481467</v>
      </c>
      <c r="S359">
        <v>2.5310000000000001</v>
      </c>
      <c r="T359">
        <v>9.766</v>
      </c>
      <c r="U359">
        <v>139523</v>
      </c>
      <c r="V359">
        <v>2.097</v>
      </c>
      <c r="W359">
        <v>19.532</v>
      </c>
      <c r="X359">
        <v>3</v>
      </c>
      <c r="Y359">
        <v>58</v>
      </c>
      <c r="Z359">
        <v>16365</v>
      </c>
    </row>
    <row r="360" spans="1:26" x14ac:dyDescent="0.25">
      <c r="A360">
        <v>2013</v>
      </c>
      <c r="B360" t="s">
        <v>63</v>
      </c>
      <c r="C360">
        <v>1301</v>
      </c>
      <c r="D360">
        <v>121926</v>
      </c>
      <c r="E360">
        <v>6586146</v>
      </c>
      <c r="F360">
        <v>6513512</v>
      </c>
      <c r="G360">
        <v>10141</v>
      </c>
      <c r="H360">
        <v>8.3290000000000006</v>
      </c>
      <c r="I360">
        <v>9794</v>
      </c>
      <c r="J360">
        <v>8.0440000000000005</v>
      </c>
      <c r="K360">
        <v>776928</v>
      </c>
      <c r="L360">
        <v>229878</v>
      </c>
      <c r="M360">
        <v>547050</v>
      </c>
      <c r="N360">
        <v>3.5289999999999999</v>
      </c>
      <c r="O360">
        <v>11.928000000000001</v>
      </c>
      <c r="P360">
        <v>631369</v>
      </c>
      <c r="Q360">
        <v>174302</v>
      </c>
      <c r="R360">
        <v>457067</v>
      </c>
      <c r="S360">
        <v>2.6760000000000002</v>
      </c>
      <c r="T360">
        <v>9.6929999999999996</v>
      </c>
      <c r="U360">
        <v>145559</v>
      </c>
      <c r="V360">
        <v>2.2349999999999999</v>
      </c>
      <c r="W360">
        <v>19.385999999999999</v>
      </c>
      <c r="X360">
        <v>0</v>
      </c>
      <c r="Y360">
        <v>0</v>
      </c>
      <c r="Z360">
        <v>0</v>
      </c>
    </row>
    <row r="361" spans="1:26" x14ac:dyDescent="0.25">
      <c r="A361">
        <v>2013</v>
      </c>
      <c r="B361" t="s">
        <v>64</v>
      </c>
      <c r="C361">
        <v>1141</v>
      </c>
      <c r="D361">
        <v>659185</v>
      </c>
      <c r="E361">
        <v>32649162</v>
      </c>
      <c r="F361">
        <v>32502874</v>
      </c>
      <c r="G361">
        <v>52168</v>
      </c>
      <c r="H361">
        <v>7.9160000000000004</v>
      </c>
      <c r="I361">
        <v>51831</v>
      </c>
      <c r="J361">
        <v>7.8650000000000002</v>
      </c>
      <c r="K361">
        <v>3577160</v>
      </c>
      <c r="L361">
        <v>1076618</v>
      </c>
      <c r="M361">
        <v>2500542</v>
      </c>
      <c r="N361">
        <v>3.3119999999999998</v>
      </c>
      <c r="O361">
        <v>11.006</v>
      </c>
      <c r="P361">
        <v>3294617</v>
      </c>
      <c r="Q361">
        <v>982868</v>
      </c>
      <c r="R361">
        <v>2311749</v>
      </c>
      <c r="S361">
        <v>3.024</v>
      </c>
      <c r="T361">
        <v>10.135999999999999</v>
      </c>
      <c r="U361">
        <v>282543</v>
      </c>
      <c r="V361">
        <v>0.86899999999999999</v>
      </c>
      <c r="W361">
        <v>20.273</v>
      </c>
      <c r="X361">
        <v>0</v>
      </c>
      <c r="Y361">
        <v>0</v>
      </c>
      <c r="Z361">
        <v>0</v>
      </c>
    </row>
    <row r="362" spans="1:26" x14ac:dyDescent="0.25">
      <c r="A362">
        <v>2014</v>
      </c>
      <c r="B362" t="s">
        <v>54</v>
      </c>
      <c r="C362">
        <v>3002670</v>
      </c>
      <c r="D362">
        <v>3007010</v>
      </c>
      <c r="E362">
        <v>6713628</v>
      </c>
      <c r="F362">
        <v>6643454</v>
      </c>
      <c r="G362">
        <v>484424</v>
      </c>
      <c r="H362">
        <v>16.202999999999999</v>
      </c>
      <c r="I362">
        <v>449876</v>
      </c>
      <c r="J362">
        <v>15.047000000000001</v>
      </c>
      <c r="K362">
        <v>1802089</v>
      </c>
      <c r="L362">
        <v>1122408</v>
      </c>
      <c r="M362">
        <v>679681</v>
      </c>
      <c r="N362">
        <v>16.895</v>
      </c>
      <c r="O362">
        <v>27.126000000000001</v>
      </c>
      <c r="P362">
        <v>1658064</v>
      </c>
      <c r="Q362">
        <v>1025830</v>
      </c>
      <c r="R362">
        <v>632234</v>
      </c>
      <c r="S362">
        <v>15.441000000000001</v>
      </c>
      <c r="T362">
        <v>24.957999999999998</v>
      </c>
      <c r="U362">
        <v>144025</v>
      </c>
      <c r="V362">
        <v>2.1680000000000001</v>
      </c>
      <c r="W362">
        <v>49.915999999999997</v>
      </c>
      <c r="X362">
        <v>340144</v>
      </c>
      <c r="Y362">
        <v>341183</v>
      </c>
      <c r="Z362">
        <v>814065</v>
      </c>
    </row>
    <row r="363" spans="1:26" x14ac:dyDescent="0.25">
      <c r="A363">
        <v>2014</v>
      </c>
      <c r="B363" t="s">
        <v>55</v>
      </c>
      <c r="C363">
        <v>938890</v>
      </c>
      <c r="D363">
        <v>951885</v>
      </c>
      <c r="E363">
        <v>6615834</v>
      </c>
      <c r="F363">
        <v>6548438</v>
      </c>
      <c r="G363">
        <v>31668</v>
      </c>
      <c r="H363">
        <v>3.331</v>
      </c>
      <c r="I363">
        <v>29193</v>
      </c>
      <c r="J363">
        <v>3.0710000000000002</v>
      </c>
      <c r="K363">
        <v>1131302</v>
      </c>
      <c r="L363">
        <v>394992</v>
      </c>
      <c r="M363">
        <v>736310</v>
      </c>
      <c r="N363">
        <v>6.032</v>
      </c>
      <c r="O363">
        <v>17.276</v>
      </c>
      <c r="P363">
        <v>997242</v>
      </c>
      <c r="Q363">
        <v>364515</v>
      </c>
      <c r="R363">
        <v>632727</v>
      </c>
      <c r="S363">
        <v>5.5659999999999998</v>
      </c>
      <c r="T363">
        <v>15.228999999999999</v>
      </c>
      <c r="U363">
        <v>134060</v>
      </c>
      <c r="V363">
        <v>2.0470000000000002</v>
      </c>
      <c r="W363">
        <v>30.457000000000001</v>
      </c>
      <c r="X363">
        <v>23933</v>
      </c>
      <c r="Y363">
        <v>25035</v>
      </c>
      <c r="Z363">
        <v>316842</v>
      </c>
    </row>
    <row r="364" spans="1:26" x14ac:dyDescent="0.25">
      <c r="A364">
        <v>2014</v>
      </c>
      <c r="B364" t="s">
        <v>56</v>
      </c>
      <c r="C364">
        <v>573691</v>
      </c>
      <c r="D364">
        <v>609194</v>
      </c>
      <c r="E364">
        <v>8093355</v>
      </c>
      <c r="F364">
        <v>7999232</v>
      </c>
      <c r="G364">
        <v>17382</v>
      </c>
      <c r="H364">
        <v>2.8580000000000001</v>
      </c>
      <c r="I364">
        <v>15346</v>
      </c>
      <c r="J364">
        <v>2.5230000000000001</v>
      </c>
      <c r="K364">
        <v>1205030</v>
      </c>
      <c r="L364">
        <v>377774</v>
      </c>
      <c r="M364">
        <v>827256</v>
      </c>
      <c r="N364">
        <v>4.7229999999999999</v>
      </c>
      <c r="O364">
        <v>15.064</v>
      </c>
      <c r="P364">
        <v>1016390</v>
      </c>
      <c r="Q364">
        <v>341432</v>
      </c>
      <c r="R364">
        <v>674958</v>
      </c>
      <c r="S364">
        <v>4.2679999999999998</v>
      </c>
      <c r="T364">
        <v>12.706</v>
      </c>
      <c r="U364">
        <v>188640</v>
      </c>
      <c r="V364">
        <v>2.3580000000000001</v>
      </c>
      <c r="W364">
        <v>25.411999999999999</v>
      </c>
      <c r="X364">
        <v>10899</v>
      </c>
      <c r="Y364">
        <v>12326</v>
      </c>
      <c r="Z364">
        <v>291972</v>
      </c>
    </row>
    <row r="365" spans="1:26" x14ac:dyDescent="0.25">
      <c r="A365">
        <v>2014</v>
      </c>
      <c r="B365" t="s">
        <v>57</v>
      </c>
      <c r="C365">
        <v>489051</v>
      </c>
      <c r="D365">
        <v>677245</v>
      </c>
      <c r="E365">
        <v>19808560</v>
      </c>
      <c r="F365">
        <v>19519819</v>
      </c>
      <c r="G365">
        <v>23753</v>
      </c>
      <c r="H365">
        <v>3.528</v>
      </c>
      <c r="I365">
        <v>15994</v>
      </c>
      <c r="J365">
        <v>2.375</v>
      </c>
      <c r="K365">
        <v>2481611</v>
      </c>
      <c r="L365">
        <v>722520</v>
      </c>
      <c r="M365">
        <v>1759091</v>
      </c>
      <c r="N365">
        <v>3.7010000000000001</v>
      </c>
      <c r="O365">
        <v>12.712999999999999</v>
      </c>
      <c r="P365">
        <v>1902881</v>
      </c>
      <c r="Q365">
        <v>571589</v>
      </c>
      <c r="R365">
        <v>1331292</v>
      </c>
      <c r="S365">
        <v>2.9279999999999999</v>
      </c>
      <c r="T365">
        <v>9.7479999999999993</v>
      </c>
      <c r="U365">
        <v>578730</v>
      </c>
      <c r="V365">
        <v>2.9649999999999999</v>
      </c>
      <c r="W365">
        <v>19.497</v>
      </c>
      <c r="X365">
        <v>6144</v>
      </c>
      <c r="Y365">
        <v>9355</v>
      </c>
      <c r="Z365">
        <v>449894</v>
      </c>
    </row>
    <row r="366" spans="1:26" x14ac:dyDescent="0.25">
      <c r="A366">
        <v>2014</v>
      </c>
      <c r="B366" t="s">
        <v>58</v>
      </c>
      <c r="C366">
        <v>85694</v>
      </c>
      <c r="D366">
        <v>361143</v>
      </c>
      <c r="E366">
        <v>16837422</v>
      </c>
      <c r="F366">
        <v>16561899</v>
      </c>
      <c r="G366">
        <v>19258</v>
      </c>
      <c r="H366">
        <v>5.3920000000000003</v>
      </c>
      <c r="I366">
        <v>11335</v>
      </c>
      <c r="J366">
        <v>3.173</v>
      </c>
      <c r="K366">
        <v>1945638</v>
      </c>
      <c r="L366">
        <v>510194</v>
      </c>
      <c r="M366">
        <v>1435444</v>
      </c>
      <c r="N366">
        <v>3.081</v>
      </c>
      <c r="O366">
        <v>11.747999999999999</v>
      </c>
      <c r="P366">
        <v>1395120</v>
      </c>
      <c r="Q366">
        <v>342695</v>
      </c>
      <c r="R366">
        <v>1052425</v>
      </c>
      <c r="S366">
        <v>2.069</v>
      </c>
      <c r="T366">
        <v>8.4239999999999995</v>
      </c>
      <c r="U366">
        <v>550518</v>
      </c>
      <c r="V366">
        <v>3.3239999999999998</v>
      </c>
      <c r="W366">
        <v>16.847000000000001</v>
      </c>
      <c r="X366">
        <v>540</v>
      </c>
      <c r="Y366">
        <v>1943</v>
      </c>
      <c r="Z366">
        <v>185890</v>
      </c>
    </row>
    <row r="367" spans="1:26" x14ac:dyDescent="0.25">
      <c r="A367">
        <v>2014</v>
      </c>
      <c r="B367" t="s">
        <v>59</v>
      </c>
      <c r="C367">
        <v>10320</v>
      </c>
      <c r="D367">
        <v>124803</v>
      </c>
      <c r="E367">
        <v>6489610</v>
      </c>
      <c r="F367">
        <v>6387575</v>
      </c>
      <c r="G367">
        <v>7575</v>
      </c>
      <c r="H367">
        <v>6.1280000000000001</v>
      </c>
      <c r="I367">
        <v>5186</v>
      </c>
      <c r="J367">
        <v>4.1959999999999997</v>
      </c>
      <c r="K367">
        <v>812356</v>
      </c>
      <c r="L367">
        <v>195259</v>
      </c>
      <c r="M367">
        <v>617097</v>
      </c>
      <c r="N367">
        <v>3.0569999999999999</v>
      </c>
      <c r="O367">
        <v>12.718</v>
      </c>
      <c r="P367">
        <v>607688</v>
      </c>
      <c r="Q367">
        <v>124450</v>
      </c>
      <c r="R367">
        <v>483238</v>
      </c>
      <c r="S367">
        <v>1.948</v>
      </c>
      <c r="T367">
        <v>9.5139999999999993</v>
      </c>
      <c r="U367">
        <v>204668</v>
      </c>
      <c r="V367">
        <v>3.2040000000000002</v>
      </c>
      <c r="W367">
        <v>19.027000000000001</v>
      </c>
      <c r="X367">
        <v>18</v>
      </c>
      <c r="Y367">
        <v>212</v>
      </c>
      <c r="Z367">
        <v>26584</v>
      </c>
    </row>
    <row r="368" spans="1:26" x14ac:dyDescent="0.25">
      <c r="A368">
        <v>2014</v>
      </c>
      <c r="B368" t="s">
        <v>60</v>
      </c>
      <c r="C368">
        <v>6279</v>
      </c>
      <c r="D368">
        <v>153952</v>
      </c>
      <c r="E368">
        <v>8520305</v>
      </c>
      <c r="F368">
        <v>8375876</v>
      </c>
      <c r="G368">
        <v>11956</v>
      </c>
      <c r="H368">
        <v>7.8920000000000003</v>
      </c>
      <c r="I368">
        <v>7041</v>
      </c>
      <c r="J368">
        <v>4.6479999999999997</v>
      </c>
      <c r="K368">
        <v>1017675</v>
      </c>
      <c r="L368">
        <v>264454</v>
      </c>
      <c r="M368">
        <v>753221</v>
      </c>
      <c r="N368">
        <v>3.157</v>
      </c>
      <c r="O368">
        <v>12.15</v>
      </c>
      <c r="P368">
        <v>728350</v>
      </c>
      <c r="Q368">
        <v>160181</v>
      </c>
      <c r="R368">
        <v>568169</v>
      </c>
      <c r="S368">
        <v>1.9119999999999999</v>
      </c>
      <c r="T368">
        <v>8.6959999999999997</v>
      </c>
      <c r="U368">
        <v>289325</v>
      </c>
      <c r="V368">
        <v>3.4540000000000002</v>
      </c>
      <c r="W368">
        <v>17.391999999999999</v>
      </c>
      <c r="X368">
        <v>5</v>
      </c>
      <c r="Y368">
        <v>132</v>
      </c>
      <c r="Z368">
        <v>16451</v>
      </c>
    </row>
    <row r="369" spans="1:26" x14ac:dyDescent="0.25">
      <c r="A369">
        <v>2014</v>
      </c>
      <c r="B369" t="s">
        <v>61</v>
      </c>
      <c r="C369">
        <v>2532</v>
      </c>
      <c r="D369">
        <v>133322</v>
      </c>
      <c r="E369">
        <v>6887593</v>
      </c>
      <c r="F369">
        <v>6816887</v>
      </c>
      <c r="G369">
        <v>8511</v>
      </c>
      <c r="H369">
        <v>6.3680000000000003</v>
      </c>
      <c r="I369">
        <v>9170</v>
      </c>
      <c r="J369">
        <v>6.8609999999999998</v>
      </c>
      <c r="K369">
        <v>781794</v>
      </c>
      <c r="L369">
        <v>198889</v>
      </c>
      <c r="M369">
        <v>582905</v>
      </c>
      <c r="N369">
        <v>2.9180000000000001</v>
      </c>
      <c r="O369">
        <v>11.468</v>
      </c>
      <c r="P369">
        <v>638205</v>
      </c>
      <c r="Q369">
        <v>149329</v>
      </c>
      <c r="R369">
        <v>488876</v>
      </c>
      <c r="S369">
        <v>2.1909999999999998</v>
      </c>
      <c r="T369">
        <v>9.3620000000000001</v>
      </c>
      <c r="U369">
        <v>143589</v>
      </c>
      <c r="V369">
        <v>2.1059999999999999</v>
      </c>
      <c r="W369">
        <v>18.724</v>
      </c>
      <c r="X369" t="s">
        <v>62</v>
      </c>
      <c r="Y369" t="s">
        <v>62</v>
      </c>
      <c r="Z369" t="s">
        <v>62</v>
      </c>
    </row>
    <row r="370" spans="1:26" x14ac:dyDescent="0.25">
      <c r="A370">
        <v>2014</v>
      </c>
      <c r="B370" t="s">
        <v>63</v>
      </c>
      <c r="C370">
        <v>1358</v>
      </c>
      <c r="D370">
        <v>127137</v>
      </c>
      <c r="E370">
        <v>6848716</v>
      </c>
      <c r="F370">
        <v>6776784</v>
      </c>
      <c r="G370">
        <v>9430</v>
      </c>
      <c r="H370">
        <v>7.484</v>
      </c>
      <c r="I370">
        <v>7169</v>
      </c>
      <c r="J370">
        <v>5.6890000000000001</v>
      </c>
      <c r="K370">
        <v>777042</v>
      </c>
      <c r="L370">
        <v>231660</v>
      </c>
      <c r="M370">
        <v>545382</v>
      </c>
      <c r="N370">
        <v>3.4180000000000001</v>
      </c>
      <c r="O370">
        <v>11.465999999999999</v>
      </c>
      <c r="P370">
        <v>633415</v>
      </c>
      <c r="Q370">
        <v>164785</v>
      </c>
      <c r="R370">
        <v>468630</v>
      </c>
      <c r="S370">
        <v>2.4319999999999999</v>
      </c>
      <c r="T370">
        <v>9.3469999999999995</v>
      </c>
      <c r="U370">
        <v>143627</v>
      </c>
      <c r="V370">
        <v>2.1190000000000002</v>
      </c>
      <c r="W370">
        <v>18.693999999999999</v>
      </c>
      <c r="X370" t="s">
        <v>62</v>
      </c>
      <c r="Y370" t="s">
        <v>62</v>
      </c>
      <c r="Z370" t="s">
        <v>62</v>
      </c>
    </row>
    <row r="371" spans="1:26" x14ac:dyDescent="0.25">
      <c r="A371">
        <v>2014</v>
      </c>
      <c r="B371" t="s">
        <v>64</v>
      </c>
      <c r="C371">
        <v>1149</v>
      </c>
      <c r="D371">
        <v>676745</v>
      </c>
      <c r="E371">
        <v>33257470</v>
      </c>
      <c r="F371">
        <v>33165231</v>
      </c>
      <c r="G371">
        <v>58335</v>
      </c>
      <c r="H371">
        <v>8.67</v>
      </c>
      <c r="I371">
        <v>50504</v>
      </c>
      <c r="J371">
        <v>7.5060000000000002</v>
      </c>
      <c r="K371">
        <v>3630841</v>
      </c>
      <c r="L371">
        <v>1052597</v>
      </c>
      <c r="M371">
        <v>2578244</v>
      </c>
      <c r="N371">
        <v>3.1739999999999999</v>
      </c>
      <c r="O371">
        <v>10.948</v>
      </c>
      <c r="P371">
        <v>3452768</v>
      </c>
      <c r="Q371">
        <v>1048098</v>
      </c>
      <c r="R371">
        <v>2404670</v>
      </c>
      <c r="S371">
        <v>3.16</v>
      </c>
      <c r="T371">
        <v>10.411</v>
      </c>
      <c r="U371">
        <v>178073</v>
      </c>
      <c r="V371">
        <v>0.53700000000000003</v>
      </c>
      <c r="W371">
        <v>20.821999999999999</v>
      </c>
      <c r="X371">
        <v>0</v>
      </c>
      <c r="Y371">
        <v>0</v>
      </c>
      <c r="Z371">
        <v>0</v>
      </c>
    </row>
    <row r="372" spans="1:26" x14ac:dyDescent="0.25">
      <c r="A372">
        <v>2015</v>
      </c>
      <c r="B372" t="s">
        <v>54</v>
      </c>
      <c r="C372">
        <v>3023372</v>
      </c>
      <c r="D372">
        <v>3028028</v>
      </c>
      <c r="E372">
        <v>6751071</v>
      </c>
      <c r="F372">
        <v>6671738</v>
      </c>
      <c r="G372">
        <v>492180</v>
      </c>
      <c r="H372">
        <v>16.376999999999999</v>
      </c>
      <c r="I372">
        <v>446610</v>
      </c>
      <c r="J372">
        <v>14.861000000000001</v>
      </c>
      <c r="K372">
        <v>1825400</v>
      </c>
      <c r="L372">
        <v>1142669</v>
      </c>
      <c r="M372">
        <v>682731</v>
      </c>
      <c r="N372">
        <v>17.126999999999999</v>
      </c>
      <c r="O372">
        <v>27.36</v>
      </c>
      <c r="P372">
        <v>1668276</v>
      </c>
      <c r="Q372">
        <v>1032549</v>
      </c>
      <c r="R372">
        <v>635727</v>
      </c>
      <c r="S372">
        <v>15.476000000000001</v>
      </c>
      <c r="T372">
        <v>25.004999999999999</v>
      </c>
      <c r="U372">
        <v>157124</v>
      </c>
      <c r="V372">
        <v>2.355</v>
      </c>
      <c r="W372">
        <v>50.01</v>
      </c>
      <c r="X372">
        <v>339366</v>
      </c>
      <c r="Y372">
        <v>340490</v>
      </c>
      <c r="Z372">
        <v>820954</v>
      </c>
    </row>
    <row r="373" spans="1:26" x14ac:dyDescent="0.25">
      <c r="A373">
        <v>2015</v>
      </c>
      <c r="B373" t="s">
        <v>55</v>
      </c>
      <c r="C373">
        <v>942996</v>
      </c>
      <c r="D373">
        <v>956533</v>
      </c>
      <c r="E373">
        <v>6657690</v>
      </c>
      <c r="F373">
        <v>6584133</v>
      </c>
      <c r="G373">
        <v>32284</v>
      </c>
      <c r="H373">
        <v>3.379</v>
      </c>
      <c r="I373">
        <v>30035</v>
      </c>
      <c r="J373">
        <v>3.1440000000000001</v>
      </c>
      <c r="K373">
        <v>1147705</v>
      </c>
      <c r="L373">
        <v>402249</v>
      </c>
      <c r="M373">
        <v>745456</v>
      </c>
      <c r="N373">
        <v>6.109</v>
      </c>
      <c r="O373">
        <v>17.431000000000001</v>
      </c>
      <c r="P373">
        <v>1001271</v>
      </c>
      <c r="Q373">
        <v>377963</v>
      </c>
      <c r="R373">
        <v>623308</v>
      </c>
      <c r="S373">
        <v>5.7409999999999997</v>
      </c>
      <c r="T373">
        <v>15.207000000000001</v>
      </c>
      <c r="U373">
        <v>146434</v>
      </c>
      <c r="V373">
        <v>2.2240000000000002</v>
      </c>
      <c r="W373">
        <v>30.414999999999999</v>
      </c>
      <c r="X373">
        <v>24526</v>
      </c>
      <c r="Y373">
        <v>25749</v>
      </c>
      <c r="Z373">
        <v>326762</v>
      </c>
    </row>
    <row r="374" spans="1:26" x14ac:dyDescent="0.25">
      <c r="A374">
        <v>2015</v>
      </c>
      <c r="B374" t="s">
        <v>56</v>
      </c>
      <c r="C374">
        <v>581084</v>
      </c>
      <c r="D374">
        <v>616989</v>
      </c>
      <c r="E374">
        <v>8223932</v>
      </c>
      <c r="F374">
        <v>8108537</v>
      </c>
      <c r="G374">
        <v>18326</v>
      </c>
      <c r="H374">
        <v>2.9769999999999999</v>
      </c>
      <c r="I374">
        <v>15677</v>
      </c>
      <c r="J374">
        <v>2.5459999999999998</v>
      </c>
      <c r="K374">
        <v>1240297</v>
      </c>
      <c r="L374">
        <v>398031</v>
      </c>
      <c r="M374">
        <v>842266</v>
      </c>
      <c r="N374">
        <v>4.9089999999999998</v>
      </c>
      <c r="O374">
        <v>15.295999999999999</v>
      </c>
      <c r="P374">
        <v>1010417</v>
      </c>
      <c r="Q374">
        <v>358870</v>
      </c>
      <c r="R374">
        <v>651547</v>
      </c>
      <c r="S374">
        <v>4.4260000000000002</v>
      </c>
      <c r="T374">
        <v>12.461</v>
      </c>
      <c r="U374">
        <v>229880</v>
      </c>
      <c r="V374">
        <v>2.835</v>
      </c>
      <c r="W374">
        <v>24.922000000000001</v>
      </c>
      <c r="X374">
        <v>11484</v>
      </c>
      <c r="Y374">
        <v>12824</v>
      </c>
      <c r="Z374">
        <v>308340</v>
      </c>
    </row>
    <row r="375" spans="1:26" x14ac:dyDescent="0.25">
      <c r="A375">
        <v>2015</v>
      </c>
      <c r="B375" t="s">
        <v>57</v>
      </c>
      <c r="C375">
        <v>501555</v>
      </c>
      <c r="D375">
        <v>692692</v>
      </c>
      <c r="E375">
        <v>20351899</v>
      </c>
      <c r="F375">
        <v>20023692</v>
      </c>
      <c r="G375">
        <v>26255</v>
      </c>
      <c r="H375">
        <v>3.8159999999999998</v>
      </c>
      <c r="I375">
        <v>17004</v>
      </c>
      <c r="J375">
        <v>2.4710000000000001</v>
      </c>
      <c r="K375">
        <v>2604064</v>
      </c>
      <c r="L375">
        <v>791726</v>
      </c>
      <c r="M375">
        <v>1812338</v>
      </c>
      <c r="N375">
        <v>3.9540000000000002</v>
      </c>
      <c r="O375">
        <v>13.005000000000001</v>
      </c>
      <c r="P375">
        <v>1950347</v>
      </c>
      <c r="Q375">
        <v>622845</v>
      </c>
      <c r="R375">
        <v>1327502</v>
      </c>
      <c r="S375">
        <v>3.1110000000000002</v>
      </c>
      <c r="T375">
        <v>9.74</v>
      </c>
      <c r="U375">
        <v>653717</v>
      </c>
      <c r="V375">
        <v>3.2650000000000001</v>
      </c>
      <c r="W375">
        <v>19.48</v>
      </c>
      <c r="X375">
        <v>6859</v>
      </c>
      <c r="Y375">
        <v>10169</v>
      </c>
      <c r="Z375">
        <v>497119</v>
      </c>
    </row>
    <row r="376" spans="1:26" x14ac:dyDescent="0.25">
      <c r="A376">
        <v>2015</v>
      </c>
      <c r="B376" t="s">
        <v>58</v>
      </c>
      <c r="C376">
        <v>87752</v>
      </c>
      <c r="D376">
        <v>367151</v>
      </c>
      <c r="E376">
        <v>17268790</v>
      </c>
      <c r="F376">
        <v>16992369</v>
      </c>
      <c r="G376">
        <v>21368</v>
      </c>
      <c r="H376">
        <v>5.8879999999999999</v>
      </c>
      <c r="I376">
        <v>12864</v>
      </c>
      <c r="J376">
        <v>3.5449999999999999</v>
      </c>
      <c r="K376">
        <v>2032381</v>
      </c>
      <c r="L376">
        <v>532132</v>
      </c>
      <c r="M376">
        <v>1500249</v>
      </c>
      <c r="N376">
        <v>3.1320000000000001</v>
      </c>
      <c r="O376">
        <v>11.961</v>
      </c>
      <c r="P376">
        <v>1479451</v>
      </c>
      <c r="Q376">
        <v>350764</v>
      </c>
      <c r="R376">
        <v>1128687</v>
      </c>
      <c r="S376">
        <v>2.0640000000000001</v>
      </c>
      <c r="T376">
        <v>8.7070000000000007</v>
      </c>
      <c r="U376">
        <v>552930</v>
      </c>
      <c r="V376">
        <v>3.254</v>
      </c>
      <c r="W376">
        <v>17.413</v>
      </c>
      <c r="X376">
        <v>533</v>
      </c>
      <c r="Y376">
        <v>2148</v>
      </c>
      <c r="Z376">
        <v>184878</v>
      </c>
    </row>
    <row r="377" spans="1:26" x14ac:dyDescent="0.25">
      <c r="A377">
        <v>2015</v>
      </c>
      <c r="B377" t="s">
        <v>59</v>
      </c>
      <c r="C377">
        <v>10520</v>
      </c>
      <c r="D377">
        <v>128771</v>
      </c>
      <c r="E377">
        <v>6604318</v>
      </c>
      <c r="F377">
        <v>6503696</v>
      </c>
      <c r="G377">
        <v>8702</v>
      </c>
      <c r="H377">
        <v>6.851</v>
      </c>
      <c r="I377">
        <v>5187</v>
      </c>
      <c r="J377">
        <v>4.0839999999999996</v>
      </c>
      <c r="K377">
        <v>815912</v>
      </c>
      <c r="L377">
        <v>224353</v>
      </c>
      <c r="M377">
        <v>591559</v>
      </c>
      <c r="N377">
        <v>3.45</v>
      </c>
      <c r="O377">
        <v>12.545</v>
      </c>
      <c r="P377">
        <v>616477</v>
      </c>
      <c r="Q377">
        <v>136806</v>
      </c>
      <c r="R377">
        <v>479671</v>
      </c>
      <c r="S377">
        <v>2.1040000000000001</v>
      </c>
      <c r="T377">
        <v>9.4789999999999992</v>
      </c>
      <c r="U377">
        <v>199435</v>
      </c>
      <c r="V377">
        <v>3.0659999999999998</v>
      </c>
      <c r="W377">
        <v>18.957999999999998</v>
      </c>
      <c r="X377">
        <v>32</v>
      </c>
      <c r="Y377">
        <v>234</v>
      </c>
      <c r="Z377">
        <v>42825</v>
      </c>
    </row>
    <row r="378" spans="1:26" x14ac:dyDescent="0.25">
      <c r="A378">
        <v>2015</v>
      </c>
      <c r="B378" t="s">
        <v>60</v>
      </c>
      <c r="C378">
        <v>6467</v>
      </c>
      <c r="D378">
        <v>157309</v>
      </c>
      <c r="E378">
        <v>8781736</v>
      </c>
      <c r="F378">
        <v>8636470</v>
      </c>
      <c r="G378">
        <v>12493</v>
      </c>
      <c r="H378">
        <v>8.0540000000000003</v>
      </c>
      <c r="I378">
        <v>8107</v>
      </c>
      <c r="J378">
        <v>5.226</v>
      </c>
      <c r="K378">
        <v>1053101</v>
      </c>
      <c r="L378">
        <v>288091</v>
      </c>
      <c r="M378">
        <v>765010</v>
      </c>
      <c r="N378">
        <v>3.3359999999999999</v>
      </c>
      <c r="O378">
        <v>12.194000000000001</v>
      </c>
      <c r="P378">
        <v>762622</v>
      </c>
      <c r="Q378">
        <v>167986</v>
      </c>
      <c r="R378">
        <v>594636</v>
      </c>
      <c r="S378">
        <v>1.9450000000000001</v>
      </c>
      <c r="T378">
        <v>8.83</v>
      </c>
      <c r="U378">
        <v>290479</v>
      </c>
      <c r="V378">
        <v>3.363</v>
      </c>
      <c r="W378">
        <v>17.661000000000001</v>
      </c>
      <c r="X378">
        <v>6</v>
      </c>
      <c r="Y378">
        <v>451</v>
      </c>
      <c r="Z378">
        <v>17216</v>
      </c>
    </row>
    <row r="379" spans="1:26" x14ac:dyDescent="0.25">
      <c r="A379">
        <v>2015</v>
      </c>
      <c r="B379" t="s">
        <v>61</v>
      </c>
      <c r="C379">
        <v>2524</v>
      </c>
      <c r="D379">
        <v>133274</v>
      </c>
      <c r="E379">
        <v>6976287</v>
      </c>
      <c r="F379">
        <v>6877272</v>
      </c>
      <c r="G379">
        <v>8993</v>
      </c>
      <c r="H379">
        <v>6.7880000000000003</v>
      </c>
      <c r="I379">
        <v>7404</v>
      </c>
      <c r="J379">
        <v>5.5890000000000004</v>
      </c>
      <c r="K379">
        <v>816451</v>
      </c>
      <c r="L379">
        <v>194690</v>
      </c>
      <c r="M379">
        <v>621761</v>
      </c>
      <c r="N379">
        <v>2.831</v>
      </c>
      <c r="O379">
        <v>11.872</v>
      </c>
      <c r="P379">
        <v>618963</v>
      </c>
      <c r="Q379">
        <v>159502</v>
      </c>
      <c r="R379">
        <v>459461</v>
      </c>
      <c r="S379">
        <v>2.319</v>
      </c>
      <c r="T379">
        <v>9</v>
      </c>
      <c r="U379">
        <v>197488</v>
      </c>
      <c r="V379">
        <v>2.8719999999999999</v>
      </c>
      <c r="W379">
        <v>18</v>
      </c>
      <c r="X379">
        <v>5</v>
      </c>
      <c r="Y379">
        <v>501</v>
      </c>
      <c r="Z379">
        <v>32715</v>
      </c>
    </row>
    <row r="380" spans="1:26" x14ac:dyDescent="0.25">
      <c r="A380">
        <v>2015</v>
      </c>
      <c r="B380" t="s">
        <v>63</v>
      </c>
      <c r="C380">
        <v>1354</v>
      </c>
      <c r="D380">
        <v>129616</v>
      </c>
      <c r="E380">
        <v>7005640</v>
      </c>
      <c r="F380">
        <v>6915749</v>
      </c>
      <c r="G380">
        <v>9331</v>
      </c>
      <c r="H380">
        <v>7.2729999999999997</v>
      </c>
      <c r="I380">
        <v>6697</v>
      </c>
      <c r="J380">
        <v>5.22</v>
      </c>
      <c r="K380">
        <v>788333</v>
      </c>
      <c r="L380">
        <v>224272</v>
      </c>
      <c r="M380">
        <v>564061</v>
      </c>
      <c r="N380">
        <v>3.2429999999999999</v>
      </c>
      <c r="O380">
        <v>11.398999999999999</v>
      </c>
      <c r="P380">
        <v>608874</v>
      </c>
      <c r="Q380">
        <v>151610</v>
      </c>
      <c r="R380">
        <v>457264</v>
      </c>
      <c r="S380">
        <v>2.1920000000000002</v>
      </c>
      <c r="T380">
        <v>8.8040000000000003</v>
      </c>
      <c r="U380">
        <v>179459</v>
      </c>
      <c r="V380">
        <v>2.5950000000000002</v>
      </c>
      <c r="W380">
        <v>17.608000000000001</v>
      </c>
      <c r="X380">
        <v>0</v>
      </c>
      <c r="Y380">
        <v>0</v>
      </c>
      <c r="Z380">
        <v>0</v>
      </c>
    </row>
    <row r="381" spans="1:26" x14ac:dyDescent="0.25">
      <c r="A381">
        <v>2015</v>
      </c>
      <c r="B381" t="s">
        <v>64</v>
      </c>
      <c r="C381">
        <v>1241</v>
      </c>
      <c r="D381">
        <v>696081</v>
      </c>
      <c r="E381">
        <v>34556115</v>
      </c>
      <c r="F381">
        <v>34317939</v>
      </c>
      <c r="G381">
        <v>58265</v>
      </c>
      <c r="H381">
        <v>8.3879999999999999</v>
      </c>
      <c r="I381">
        <v>55271</v>
      </c>
      <c r="J381">
        <v>7.9569999999999999</v>
      </c>
      <c r="K381">
        <v>3958942</v>
      </c>
      <c r="L381">
        <v>1188047</v>
      </c>
      <c r="M381">
        <v>2770895</v>
      </c>
      <c r="N381">
        <v>3.4620000000000002</v>
      </c>
      <c r="O381">
        <v>11.536</v>
      </c>
      <c r="P381">
        <v>3465455</v>
      </c>
      <c r="Q381">
        <v>936201</v>
      </c>
      <c r="R381">
        <v>2529254</v>
      </c>
      <c r="S381">
        <v>2.7280000000000002</v>
      </c>
      <c r="T381">
        <v>10.098000000000001</v>
      </c>
      <c r="U381">
        <v>493487</v>
      </c>
      <c r="V381">
        <v>1.4379999999999999</v>
      </c>
      <c r="W381">
        <v>20.196000000000002</v>
      </c>
      <c r="X381">
        <v>0</v>
      </c>
      <c r="Y381">
        <v>0</v>
      </c>
      <c r="Z381">
        <v>0</v>
      </c>
    </row>
    <row r="382" spans="1:26" x14ac:dyDescent="0.25">
      <c r="A382">
        <v>2016</v>
      </c>
      <c r="B382" t="s">
        <v>54</v>
      </c>
      <c r="C382">
        <v>3058784</v>
      </c>
      <c r="D382">
        <v>3063707</v>
      </c>
      <c r="E382">
        <v>6817355</v>
      </c>
      <c r="F382">
        <v>6713374</v>
      </c>
      <c r="G382">
        <v>510991</v>
      </c>
      <c r="H382">
        <v>16.859000000000002</v>
      </c>
      <c r="I382">
        <v>445664</v>
      </c>
      <c r="J382">
        <v>14.702999999999999</v>
      </c>
      <c r="K382">
        <v>1879060</v>
      </c>
      <c r="L382">
        <v>1190598</v>
      </c>
      <c r="M382">
        <v>688462</v>
      </c>
      <c r="N382">
        <v>17.734999999999999</v>
      </c>
      <c r="O382">
        <v>27.99</v>
      </c>
      <c r="P382">
        <v>1670064</v>
      </c>
      <c r="Q382">
        <v>1028273</v>
      </c>
      <c r="R382">
        <v>641791</v>
      </c>
      <c r="S382">
        <v>15.317</v>
      </c>
      <c r="T382">
        <v>24.876999999999999</v>
      </c>
      <c r="U382">
        <v>208996</v>
      </c>
      <c r="V382">
        <v>3.113</v>
      </c>
      <c r="W382">
        <v>49.753</v>
      </c>
      <c r="X382">
        <v>339958</v>
      </c>
      <c r="Y382">
        <v>341090</v>
      </c>
      <c r="Z382">
        <v>821918</v>
      </c>
    </row>
    <row r="383" spans="1:26" x14ac:dyDescent="0.25">
      <c r="A383">
        <v>2016</v>
      </c>
      <c r="B383" t="s">
        <v>55</v>
      </c>
      <c r="C383">
        <v>950876</v>
      </c>
      <c r="D383">
        <v>965103</v>
      </c>
      <c r="E383">
        <v>6732416</v>
      </c>
      <c r="F383">
        <v>6647291</v>
      </c>
      <c r="G383">
        <v>34111</v>
      </c>
      <c r="H383">
        <v>3.5409999999999999</v>
      </c>
      <c r="I383">
        <v>30541</v>
      </c>
      <c r="J383">
        <v>3.17</v>
      </c>
      <c r="K383">
        <v>1188134</v>
      </c>
      <c r="L383">
        <v>425585</v>
      </c>
      <c r="M383">
        <v>762549</v>
      </c>
      <c r="N383">
        <v>6.4020000000000001</v>
      </c>
      <c r="O383">
        <v>17.873999999999999</v>
      </c>
      <c r="P383">
        <v>1019045</v>
      </c>
      <c r="Q383">
        <v>384980</v>
      </c>
      <c r="R383">
        <v>634065</v>
      </c>
      <c r="S383">
        <v>5.7919999999999998</v>
      </c>
      <c r="T383">
        <v>15.33</v>
      </c>
      <c r="U383">
        <v>169089</v>
      </c>
      <c r="V383">
        <v>2.544</v>
      </c>
      <c r="W383">
        <v>30.66</v>
      </c>
      <c r="X383">
        <v>25166</v>
      </c>
      <c r="Y383">
        <v>26276</v>
      </c>
      <c r="Z383">
        <v>335429</v>
      </c>
    </row>
    <row r="384" spans="1:26" x14ac:dyDescent="0.25">
      <c r="A384">
        <v>2016</v>
      </c>
      <c r="B384" t="s">
        <v>56</v>
      </c>
      <c r="C384">
        <v>589766</v>
      </c>
      <c r="D384">
        <v>626034</v>
      </c>
      <c r="E384">
        <v>8352723</v>
      </c>
      <c r="F384">
        <v>8239203</v>
      </c>
      <c r="G384">
        <v>18781</v>
      </c>
      <c r="H384">
        <v>3.0059999999999998</v>
      </c>
      <c r="I384">
        <v>16211</v>
      </c>
      <c r="J384">
        <v>2.5950000000000002</v>
      </c>
      <c r="K384">
        <v>1272933</v>
      </c>
      <c r="L384">
        <v>412631</v>
      </c>
      <c r="M384">
        <v>860302</v>
      </c>
      <c r="N384">
        <v>5.008</v>
      </c>
      <c r="O384">
        <v>15.45</v>
      </c>
      <c r="P384">
        <v>1047108</v>
      </c>
      <c r="Q384">
        <v>372974</v>
      </c>
      <c r="R384">
        <v>674134</v>
      </c>
      <c r="S384">
        <v>4.5270000000000001</v>
      </c>
      <c r="T384">
        <v>12.709</v>
      </c>
      <c r="U384">
        <v>225825</v>
      </c>
      <c r="V384">
        <v>2.7410000000000001</v>
      </c>
      <c r="W384">
        <v>25.417999999999999</v>
      </c>
      <c r="X384">
        <v>11915</v>
      </c>
      <c r="Y384">
        <v>13294</v>
      </c>
      <c r="Z384">
        <v>320868</v>
      </c>
    </row>
    <row r="385" spans="1:26" x14ac:dyDescent="0.25">
      <c r="A385">
        <v>2016</v>
      </c>
      <c r="B385" t="s">
        <v>57</v>
      </c>
      <c r="C385">
        <v>512945</v>
      </c>
      <c r="D385">
        <v>705000</v>
      </c>
      <c r="E385">
        <v>20744976</v>
      </c>
      <c r="F385">
        <v>20477433</v>
      </c>
      <c r="G385">
        <v>25965</v>
      </c>
      <c r="H385">
        <v>3.7069999999999999</v>
      </c>
      <c r="I385">
        <v>16675</v>
      </c>
      <c r="J385">
        <v>2.3809999999999998</v>
      </c>
      <c r="K385">
        <v>2619919</v>
      </c>
      <c r="L385">
        <v>781532</v>
      </c>
      <c r="M385">
        <v>1838387</v>
      </c>
      <c r="N385">
        <v>3.8170000000000002</v>
      </c>
      <c r="O385">
        <v>12.794</v>
      </c>
      <c r="P385">
        <v>2084360</v>
      </c>
      <c r="Q385">
        <v>641092</v>
      </c>
      <c r="R385">
        <v>1443268</v>
      </c>
      <c r="S385">
        <v>3.1309999999999998</v>
      </c>
      <c r="T385">
        <v>10.179</v>
      </c>
      <c r="U385">
        <v>535559</v>
      </c>
      <c r="V385">
        <v>2.6150000000000002</v>
      </c>
      <c r="W385">
        <v>20.358000000000001</v>
      </c>
      <c r="X385">
        <v>6905</v>
      </c>
      <c r="Y385">
        <v>9801</v>
      </c>
      <c r="Z385">
        <v>501917</v>
      </c>
    </row>
    <row r="386" spans="1:26" x14ac:dyDescent="0.25">
      <c r="A386">
        <v>2016</v>
      </c>
      <c r="B386" t="s">
        <v>58</v>
      </c>
      <c r="C386">
        <v>89401</v>
      </c>
      <c r="D386">
        <v>374426</v>
      </c>
      <c r="E386">
        <v>17578483</v>
      </c>
      <c r="F386">
        <v>17341873</v>
      </c>
      <c r="G386">
        <v>20998</v>
      </c>
      <c r="H386">
        <v>5.67</v>
      </c>
      <c r="I386">
        <v>12832</v>
      </c>
      <c r="J386">
        <v>3.4649999999999999</v>
      </c>
      <c r="K386">
        <v>2021406</v>
      </c>
      <c r="L386">
        <v>524493</v>
      </c>
      <c r="M386">
        <v>1496913</v>
      </c>
      <c r="N386">
        <v>3.024</v>
      </c>
      <c r="O386">
        <v>11.656000000000001</v>
      </c>
      <c r="P386">
        <v>1546147</v>
      </c>
      <c r="Q386">
        <v>358878</v>
      </c>
      <c r="R386">
        <v>1187269</v>
      </c>
      <c r="S386">
        <v>2.069</v>
      </c>
      <c r="T386">
        <v>8.9160000000000004</v>
      </c>
      <c r="U386">
        <v>475259</v>
      </c>
      <c r="V386">
        <v>2.7410000000000001</v>
      </c>
      <c r="W386">
        <v>17.831</v>
      </c>
      <c r="X386">
        <v>564</v>
      </c>
      <c r="Y386">
        <v>2424</v>
      </c>
      <c r="Z386">
        <v>195083</v>
      </c>
    </row>
    <row r="387" spans="1:26" x14ac:dyDescent="0.25">
      <c r="A387">
        <v>2016</v>
      </c>
      <c r="B387" t="s">
        <v>59</v>
      </c>
      <c r="C387">
        <v>10640</v>
      </c>
      <c r="D387">
        <v>131491</v>
      </c>
      <c r="E387">
        <v>6709393</v>
      </c>
      <c r="F387">
        <v>6631652</v>
      </c>
      <c r="G387">
        <v>8839</v>
      </c>
      <c r="H387">
        <v>6.81</v>
      </c>
      <c r="I387">
        <v>5449</v>
      </c>
      <c r="J387">
        <v>4.1980000000000004</v>
      </c>
      <c r="K387">
        <v>811910</v>
      </c>
      <c r="L387">
        <v>195281</v>
      </c>
      <c r="M387">
        <v>616629</v>
      </c>
      <c r="N387">
        <v>2.9449999999999998</v>
      </c>
      <c r="O387">
        <v>12.243</v>
      </c>
      <c r="P387">
        <v>656912</v>
      </c>
      <c r="Q387">
        <v>133207</v>
      </c>
      <c r="R387">
        <v>523705</v>
      </c>
      <c r="S387">
        <v>2.0089999999999999</v>
      </c>
      <c r="T387">
        <v>9.9060000000000006</v>
      </c>
      <c r="U387">
        <v>154998</v>
      </c>
      <c r="V387">
        <v>2.3370000000000002</v>
      </c>
      <c r="W387">
        <v>19.811</v>
      </c>
      <c r="X387">
        <v>27</v>
      </c>
      <c r="Y387">
        <v>484</v>
      </c>
      <c r="Z387">
        <v>35939</v>
      </c>
    </row>
    <row r="388" spans="1:26" x14ac:dyDescent="0.25">
      <c r="A388">
        <v>2016</v>
      </c>
      <c r="B388" t="s">
        <v>60</v>
      </c>
      <c r="C388">
        <v>6478</v>
      </c>
      <c r="D388">
        <v>158700</v>
      </c>
      <c r="E388">
        <v>8840091</v>
      </c>
      <c r="F388">
        <v>8757365</v>
      </c>
      <c r="G388">
        <v>11805</v>
      </c>
      <c r="H388">
        <v>7.5140000000000002</v>
      </c>
      <c r="I388">
        <v>8628</v>
      </c>
      <c r="J388">
        <v>5.492</v>
      </c>
      <c r="K388">
        <v>1023231</v>
      </c>
      <c r="L388">
        <v>284794</v>
      </c>
      <c r="M388">
        <v>738437</v>
      </c>
      <c r="N388">
        <v>3.2519999999999998</v>
      </c>
      <c r="O388">
        <v>11.683999999999999</v>
      </c>
      <c r="P388">
        <v>855516</v>
      </c>
      <c r="Q388">
        <v>171290</v>
      </c>
      <c r="R388">
        <v>684226</v>
      </c>
      <c r="S388">
        <v>1.956</v>
      </c>
      <c r="T388">
        <v>9.7690000000000001</v>
      </c>
      <c r="U388">
        <v>167715</v>
      </c>
      <c r="V388">
        <v>1.915</v>
      </c>
      <c r="W388">
        <v>19.538</v>
      </c>
      <c r="X388">
        <v>12</v>
      </c>
      <c r="Y388">
        <v>874</v>
      </c>
      <c r="Z388">
        <v>33601</v>
      </c>
    </row>
    <row r="389" spans="1:26" x14ac:dyDescent="0.25">
      <c r="A389">
        <v>2016</v>
      </c>
      <c r="B389" t="s">
        <v>61</v>
      </c>
      <c r="C389">
        <v>2563</v>
      </c>
      <c r="D389">
        <v>137665</v>
      </c>
      <c r="E389">
        <v>7140029</v>
      </c>
      <c r="F389">
        <v>7078383</v>
      </c>
      <c r="G389">
        <v>9089</v>
      </c>
      <c r="H389">
        <v>6.6589999999999998</v>
      </c>
      <c r="I389">
        <v>6747</v>
      </c>
      <c r="J389">
        <v>4.9429999999999996</v>
      </c>
      <c r="K389">
        <v>778857</v>
      </c>
      <c r="L389">
        <v>200679</v>
      </c>
      <c r="M389">
        <v>578178</v>
      </c>
      <c r="N389">
        <v>2.835</v>
      </c>
      <c r="O389">
        <v>11.003</v>
      </c>
      <c r="P389">
        <v>658248</v>
      </c>
      <c r="Q389">
        <v>135742</v>
      </c>
      <c r="R389">
        <v>522506</v>
      </c>
      <c r="S389">
        <v>1.9179999999999999</v>
      </c>
      <c r="T389">
        <v>9.2989999999999995</v>
      </c>
      <c r="U389">
        <v>120609</v>
      </c>
      <c r="V389">
        <v>1.704</v>
      </c>
      <c r="W389">
        <v>18.599</v>
      </c>
      <c r="X389" t="s">
        <v>62</v>
      </c>
      <c r="Y389" t="s">
        <v>62</v>
      </c>
      <c r="Z389" t="s">
        <v>62</v>
      </c>
    </row>
    <row r="390" spans="1:26" x14ac:dyDescent="0.25">
      <c r="A390">
        <v>2016</v>
      </c>
      <c r="B390" t="s">
        <v>63</v>
      </c>
      <c r="C390">
        <v>1406</v>
      </c>
      <c r="D390">
        <v>134943</v>
      </c>
      <c r="E390">
        <v>7201695</v>
      </c>
      <c r="F390">
        <v>7154589</v>
      </c>
      <c r="G390">
        <v>10914</v>
      </c>
      <c r="H390">
        <v>8.2309999999999999</v>
      </c>
      <c r="I390">
        <v>6209</v>
      </c>
      <c r="J390">
        <v>4.6829999999999998</v>
      </c>
      <c r="K390">
        <v>795240</v>
      </c>
      <c r="L390">
        <v>227796</v>
      </c>
      <c r="M390">
        <v>567444</v>
      </c>
      <c r="N390">
        <v>3.1840000000000002</v>
      </c>
      <c r="O390">
        <v>11.115</v>
      </c>
      <c r="P390">
        <v>694840</v>
      </c>
      <c r="Q390">
        <v>163313</v>
      </c>
      <c r="R390">
        <v>531527</v>
      </c>
      <c r="S390">
        <v>2.2829999999999999</v>
      </c>
      <c r="T390">
        <v>9.7119999999999997</v>
      </c>
      <c r="U390">
        <v>100400</v>
      </c>
      <c r="V390">
        <v>1.403</v>
      </c>
      <c r="W390">
        <v>19.423999999999999</v>
      </c>
      <c r="X390" t="s">
        <v>62</v>
      </c>
      <c r="Y390" t="s">
        <v>62</v>
      </c>
      <c r="Z390" t="s">
        <v>62</v>
      </c>
    </row>
    <row r="391" spans="1:26" x14ac:dyDescent="0.25">
      <c r="A391">
        <v>2016</v>
      </c>
      <c r="B391" t="s">
        <v>64</v>
      </c>
      <c r="C391">
        <v>1296</v>
      </c>
      <c r="D391">
        <v>735035</v>
      </c>
      <c r="E391">
        <v>35572243</v>
      </c>
      <c r="F391">
        <v>35396941</v>
      </c>
      <c r="G391">
        <v>58949</v>
      </c>
      <c r="H391">
        <v>8.1470000000000002</v>
      </c>
      <c r="I391">
        <v>35980</v>
      </c>
      <c r="J391">
        <v>4.9729999999999999</v>
      </c>
      <c r="K391">
        <v>3644140</v>
      </c>
      <c r="L391">
        <v>1023002</v>
      </c>
      <c r="M391">
        <v>2621138</v>
      </c>
      <c r="N391">
        <v>2.89</v>
      </c>
      <c r="O391">
        <v>10.295</v>
      </c>
      <c r="P391">
        <v>3304598</v>
      </c>
      <c r="Q391">
        <v>898334</v>
      </c>
      <c r="R391">
        <v>2406264</v>
      </c>
      <c r="S391">
        <v>2.5379999999999998</v>
      </c>
      <c r="T391">
        <v>9.3360000000000003</v>
      </c>
      <c r="U391">
        <v>339542</v>
      </c>
      <c r="V391">
        <v>0.95899999999999996</v>
      </c>
      <c r="W391">
        <v>18.672000000000001</v>
      </c>
      <c r="X391" t="s">
        <v>62</v>
      </c>
      <c r="Y391" t="s">
        <v>62</v>
      </c>
      <c r="Z391" t="s">
        <v>62</v>
      </c>
    </row>
    <row r="392" spans="1:26" x14ac:dyDescent="0.25">
      <c r="A392">
        <v>2017</v>
      </c>
      <c r="B392" t="s">
        <v>54</v>
      </c>
      <c r="C392">
        <v>3077369</v>
      </c>
      <c r="D392">
        <v>3081642</v>
      </c>
      <c r="E392">
        <v>6763813</v>
      </c>
      <c r="F392">
        <v>6729146</v>
      </c>
      <c r="G392">
        <v>501112</v>
      </c>
      <c r="H392">
        <v>16.376999999999999</v>
      </c>
      <c r="I392">
        <v>457379</v>
      </c>
      <c r="J392">
        <v>14.948</v>
      </c>
      <c r="K392">
        <v>1795049</v>
      </c>
      <c r="L392">
        <v>1147586</v>
      </c>
      <c r="M392">
        <v>647463</v>
      </c>
      <c r="N392">
        <v>17.053999999999998</v>
      </c>
      <c r="O392">
        <v>26.675999999999998</v>
      </c>
      <c r="P392">
        <v>1725899</v>
      </c>
      <c r="Q392">
        <v>1053217</v>
      </c>
      <c r="R392">
        <v>672682</v>
      </c>
      <c r="S392">
        <v>15.651999999999999</v>
      </c>
      <c r="T392">
        <v>25.648</v>
      </c>
      <c r="U392">
        <v>69150</v>
      </c>
      <c r="V392">
        <v>1.028</v>
      </c>
      <c r="W392">
        <v>51.295999999999999</v>
      </c>
      <c r="X392">
        <v>345074</v>
      </c>
      <c r="Y392">
        <v>346405</v>
      </c>
      <c r="Z392">
        <v>830281</v>
      </c>
    </row>
    <row r="393" spans="1:26" x14ac:dyDescent="0.25">
      <c r="A393">
        <v>2017</v>
      </c>
      <c r="B393" t="s">
        <v>55</v>
      </c>
      <c r="C393">
        <v>952794</v>
      </c>
      <c r="D393">
        <v>965174</v>
      </c>
      <c r="E393">
        <v>6720452</v>
      </c>
      <c r="F393">
        <v>6670768</v>
      </c>
      <c r="G393">
        <v>34517</v>
      </c>
      <c r="H393">
        <v>3.5790000000000002</v>
      </c>
      <c r="I393">
        <v>33211</v>
      </c>
      <c r="J393">
        <v>3.4430000000000001</v>
      </c>
      <c r="K393">
        <v>1165748</v>
      </c>
      <c r="L393">
        <v>427786</v>
      </c>
      <c r="M393">
        <v>737962</v>
      </c>
      <c r="N393">
        <v>6.4130000000000003</v>
      </c>
      <c r="O393">
        <v>17.475000000000001</v>
      </c>
      <c r="P393">
        <v>1066668</v>
      </c>
      <c r="Q393">
        <v>404308</v>
      </c>
      <c r="R393">
        <v>662360</v>
      </c>
      <c r="S393">
        <v>6.0609999999999999</v>
      </c>
      <c r="T393">
        <v>15.99</v>
      </c>
      <c r="U393">
        <v>99080</v>
      </c>
      <c r="V393">
        <v>1.4850000000000001</v>
      </c>
      <c r="W393">
        <v>31.98</v>
      </c>
      <c r="X393">
        <v>25703</v>
      </c>
      <c r="Y393">
        <v>26879</v>
      </c>
      <c r="Z393">
        <v>343121</v>
      </c>
    </row>
    <row r="394" spans="1:26" x14ac:dyDescent="0.25">
      <c r="A394">
        <v>2017</v>
      </c>
      <c r="B394" t="s">
        <v>56</v>
      </c>
      <c r="C394">
        <v>595969</v>
      </c>
      <c r="D394">
        <v>630032</v>
      </c>
      <c r="E394">
        <v>8421055</v>
      </c>
      <c r="F394">
        <v>8341538</v>
      </c>
      <c r="G394">
        <v>19987</v>
      </c>
      <c r="H394">
        <v>3.1720000000000002</v>
      </c>
      <c r="I394">
        <v>20238</v>
      </c>
      <c r="J394">
        <v>3.2120000000000002</v>
      </c>
      <c r="K394">
        <v>1294006</v>
      </c>
      <c r="L394">
        <v>424156</v>
      </c>
      <c r="M394">
        <v>869850</v>
      </c>
      <c r="N394">
        <v>5.085</v>
      </c>
      <c r="O394">
        <v>15.513</v>
      </c>
      <c r="P394">
        <v>1135892</v>
      </c>
      <c r="Q394">
        <v>419985</v>
      </c>
      <c r="R394">
        <v>715907</v>
      </c>
      <c r="S394">
        <v>5.0350000000000001</v>
      </c>
      <c r="T394">
        <v>13.617000000000001</v>
      </c>
      <c r="U394">
        <v>158114</v>
      </c>
      <c r="V394">
        <v>1.8959999999999999</v>
      </c>
      <c r="W394">
        <v>27.234999999999999</v>
      </c>
      <c r="X394">
        <v>12867</v>
      </c>
      <c r="Y394">
        <v>14591</v>
      </c>
      <c r="Z394">
        <v>348424</v>
      </c>
    </row>
    <row r="395" spans="1:26" x14ac:dyDescent="0.25">
      <c r="A395">
        <v>2017</v>
      </c>
      <c r="B395" t="s">
        <v>57</v>
      </c>
      <c r="C395">
        <v>520222</v>
      </c>
      <c r="D395">
        <v>709909</v>
      </c>
      <c r="E395">
        <v>21054001</v>
      </c>
      <c r="F395">
        <v>20793381</v>
      </c>
      <c r="G395">
        <v>25571</v>
      </c>
      <c r="H395">
        <v>3.605</v>
      </c>
      <c r="I395">
        <v>24312</v>
      </c>
      <c r="J395">
        <v>3.4279999999999999</v>
      </c>
      <c r="K395">
        <v>2950382</v>
      </c>
      <c r="L395">
        <v>828417</v>
      </c>
      <c r="M395">
        <v>2121965</v>
      </c>
      <c r="N395">
        <v>3.984</v>
      </c>
      <c r="O395">
        <v>14.189</v>
      </c>
      <c r="P395">
        <v>2430814</v>
      </c>
      <c r="Q395">
        <v>799425</v>
      </c>
      <c r="R395">
        <v>1631389</v>
      </c>
      <c r="S395">
        <v>3.8450000000000002</v>
      </c>
      <c r="T395">
        <v>11.69</v>
      </c>
      <c r="U395">
        <v>519568</v>
      </c>
      <c r="V395">
        <v>2.4990000000000001</v>
      </c>
      <c r="W395">
        <v>23.381</v>
      </c>
      <c r="X395">
        <v>7892</v>
      </c>
      <c r="Y395">
        <v>11589</v>
      </c>
      <c r="Z395">
        <v>581508</v>
      </c>
    </row>
    <row r="396" spans="1:26" x14ac:dyDescent="0.25">
      <c r="A396">
        <v>2017</v>
      </c>
      <c r="B396" t="s">
        <v>58</v>
      </c>
      <c r="C396">
        <v>90438</v>
      </c>
      <c r="D396">
        <v>373092</v>
      </c>
      <c r="E396">
        <v>17896303</v>
      </c>
      <c r="F396">
        <v>17614834</v>
      </c>
      <c r="G396">
        <v>17900</v>
      </c>
      <c r="H396">
        <v>4.8079999999999998</v>
      </c>
      <c r="I396">
        <v>16360</v>
      </c>
      <c r="J396">
        <v>4.3940000000000001</v>
      </c>
      <c r="K396">
        <v>2479311</v>
      </c>
      <c r="L396">
        <v>522581</v>
      </c>
      <c r="M396">
        <v>1956730</v>
      </c>
      <c r="N396">
        <v>2.9670000000000001</v>
      </c>
      <c r="O396">
        <v>14.074999999999999</v>
      </c>
      <c r="P396">
        <v>1914093</v>
      </c>
      <c r="Q396">
        <v>488363</v>
      </c>
      <c r="R396">
        <v>1425730</v>
      </c>
      <c r="S396">
        <v>2.7719999999999998</v>
      </c>
      <c r="T396">
        <v>10.866</v>
      </c>
      <c r="U396">
        <v>565218</v>
      </c>
      <c r="V396">
        <v>3.2090000000000001</v>
      </c>
      <c r="W396">
        <v>21.733000000000001</v>
      </c>
      <c r="X396">
        <v>637</v>
      </c>
      <c r="Y396">
        <v>2262</v>
      </c>
      <c r="Z396">
        <v>219551</v>
      </c>
    </row>
    <row r="397" spans="1:26" x14ac:dyDescent="0.25">
      <c r="A397">
        <v>2017</v>
      </c>
      <c r="B397" t="s">
        <v>59</v>
      </c>
      <c r="C397">
        <v>10938</v>
      </c>
      <c r="D397">
        <v>133298</v>
      </c>
      <c r="E397">
        <v>6873216</v>
      </c>
      <c r="F397">
        <v>6748417</v>
      </c>
      <c r="G397">
        <v>7864</v>
      </c>
      <c r="H397">
        <v>5.94</v>
      </c>
      <c r="I397">
        <v>6055</v>
      </c>
      <c r="J397">
        <v>4.5730000000000004</v>
      </c>
      <c r="K397">
        <v>924531</v>
      </c>
      <c r="L397">
        <v>209537</v>
      </c>
      <c r="M397">
        <v>714994</v>
      </c>
      <c r="N397">
        <v>3.105</v>
      </c>
      <c r="O397">
        <v>13.7</v>
      </c>
      <c r="P397">
        <v>676357</v>
      </c>
      <c r="Q397">
        <v>149775</v>
      </c>
      <c r="R397">
        <v>526582</v>
      </c>
      <c r="S397">
        <v>2.2189999999999999</v>
      </c>
      <c r="T397">
        <v>10.022</v>
      </c>
      <c r="U397">
        <v>248174</v>
      </c>
      <c r="V397">
        <v>3.6779999999999999</v>
      </c>
      <c r="W397">
        <v>20.045000000000002</v>
      </c>
      <c r="X397">
        <v>27</v>
      </c>
      <c r="Y397">
        <v>511</v>
      </c>
      <c r="Z397">
        <v>38805</v>
      </c>
    </row>
    <row r="398" spans="1:26" x14ac:dyDescent="0.25">
      <c r="A398">
        <v>2017</v>
      </c>
      <c r="B398" t="s">
        <v>60</v>
      </c>
      <c r="C398">
        <v>6684</v>
      </c>
      <c r="D398">
        <v>161595</v>
      </c>
      <c r="E398">
        <v>8987536</v>
      </c>
      <c r="F398">
        <v>8918918</v>
      </c>
      <c r="G398">
        <v>11087</v>
      </c>
      <c r="H398">
        <v>6.9180000000000001</v>
      </c>
      <c r="I398">
        <v>8423</v>
      </c>
      <c r="J398">
        <v>5.2560000000000002</v>
      </c>
      <c r="K398">
        <v>1032587</v>
      </c>
      <c r="L398">
        <v>233839</v>
      </c>
      <c r="M398">
        <v>798748</v>
      </c>
      <c r="N398">
        <v>2.6219999999999999</v>
      </c>
      <c r="O398">
        <v>11.577</v>
      </c>
      <c r="P398">
        <v>890266</v>
      </c>
      <c r="Q398">
        <v>236300</v>
      </c>
      <c r="R398">
        <v>653966</v>
      </c>
      <c r="S398">
        <v>2.649</v>
      </c>
      <c r="T398">
        <v>9.9819999999999993</v>
      </c>
      <c r="U398">
        <v>142321</v>
      </c>
      <c r="V398">
        <v>1.5960000000000001</v>
      </c>
      <c r="W398">
        <v>19.963999999999999</v>
      </c>
      <c r="X398">
        <v>16</v>
      </c>
      <c r="Y398">
        <v>691</v>
      </c>
      <c r="Z398">
        <v>51337</v>
      </c>
    </row>
    <row r="399" spans="1:26" x14ac:dyDescent="0.25">
      <c r="A399">
        <v>2017</v>
      </c>
      <c r="B399" t="s">
        <v>61</v>
      </c>
      <c r="C399">
        <v>2666</v>
      </c>
      <c r="D399">
        <v>139659</v>
      </c>
      <c r="E399">
        <v>7128227</v>
      </c>
      <c r="F399">
        <v>7090910</v>
      </c>
      <c r="G399">
        <v>9034</v>
      </c>
      <c r="H399">
        <v>6.4749999999999996</v>
      </c>
      <c r="I399">
        <v>8764</v>
      </c>
      <c r="J399">
        <v>6.2809999999999997</v>
      </c>
      <c r="K399">
        <v>794893</v>
      </c>
      <c r="L399">
        <v>189613</v>
      </c>
      <c r="M399">
        <v>605280</v>
      </c>
      <c r="N399">
        <v>2.6739999999999999</v>
      </c>
      <c r="O399">
        <v>11.21</v>
      </c>
      <c r="P399">
        <v>719986</v>
      </c>
      <c r="Q399">
        <v>186547</v>
      </c>
      <c r="R399">
        <v>533439</v>
      </c>
      <c r="S399">
        <v>2.6309999999999998</v>
      </c>
      <c r="T399">
        <v>10.154</v>
      </c>
      <c r="U399">
        <v>74907</v>
      </c>
      <c r="V399">
        <v>1.056</v>
      </c>
      <c r="W399">
        <v>20.306999999999999</v>
      </c>
      <c r="X399">
        <v>6</v>
      </c>
      <c r="Y399">
        <v>425</v>
      </c>
      <c r="Z399">
        <v>34989</v>
      </c>
    </row>
    <row r="400" spans="1:26" x14ac:dyDescent="0.25">
      <c r="A400">
        <v>2017</v>
      </c>
      <c r="B400" t="s">
        <v>63</v>
      </c>
      <c r="C400">
        <v>1483</v>
      </c>
      <c r="D400">
        <v>137618</v>
      </c>
      <c r="E400">
        <v>7253039</v>
      </c>
      <c r="F400">
        <v>7144620</v>
      </c>
      <c r="G400">
        <v>11867</v>
      </c>
      <c r="H400">
        <v>8.7469999999999999</v>
      </c>
      <c r="I400">
        <v>7967</v>
      </c>
      <c r="J400">
        <v>5.8719999999999999</v>
      </c>
      <c r="K400">
        <v>911946</v>
      </c>
      <c r="L400">
        <v>269714</v>
      </c>
      <c r="M400">
        <v>642232</v>
      </c>
      <c r="N400">
        <v>3.7749999999999999</v>
      </c>
      <c r="O400">
        <v>12.763999999999999</v>
      </c>
      <c r="P400">
        <v>694814</v>
      </c>
      <c r="Q400">
        <v>182201</v>
      </c>
      <c r="R400">
        <v>512613</v>
      </c>
      <c r="S400">
        <v>2.5499999999999998</v>
      </c>
      <c r="T400">
        <v>9.7249999999999996</v>
      </c>
      <c r="U400">
        <v>217132</v>
      </c>
      <c r="V400">
        <v>3.0390000000000001</v>
      </c>
      <c r="W400">
        <v>19.45</v>
      </c>
      <c r="X400">
        <v>0</v>
      </c>
      <c r="Y400">
        <v>0</v>
      </c>
      <c r="Z400">
        <v>0</v>
      </c>
    </row>
    <row r="401" spans="1:26" x14ac:dyDescent="0.25">
      <c r="A401">
        <v>2017</v>
      </c>
      <c r="B401" t="s">
        <v>64</v>
      </c>
      <c r="C401">
        <v>1344</v>
      </c>
      <c r="D401">
        <v>741603</v>
      </c>
      <c r="E401">
        <v>36329804</v>
      </c>
      <c r="F401">
        <v>36372992</v>
      </c>
      <c r="G401">
        <v>43408</v>
      </c>
      <c r="H401">
        <v>5.798</v>
      </c>
      <c r="I401">
        <v>57527</v>
      </c>
      <c r="J401">
        <v>7.6840000000000002</v>
      </c>
      <c r="K401">
        <v>3765216</v>
      </c>
      <c r="L401">
        <v>1062093</v>
      </c>
      <c r="M401">
        <v>2703123</v>
      </c>
      <c r="N401">
        <v>2.92</v>
      </c>
      <c r="O401">
        <v>10.352</v>
      </c>
      <c r="P401">
        <v>3859836</v>
      </c>
      <c r="Q401">
        <v>1234700</v>
      </c>
      <c r="R401">
        <v>2625136</v>
      </c>
      <c r="S401">
        <v>3.395</v>
      </c>
      <c r="T401">
        <v>10.612</v>
      </c>
      <c r="U401">
        <v>-94620</v>
      </c>
      <c r="V401">
        <v>-0.26</v>
      </c>
      <c r="W401">
        <v>20.702999999999999</v>
      </c>
      <c r="X401">
        <v>0</v>
      </c>
      <c r="Y401">
        <v>0</v>
      </c>
      <c r="Z401">
        <v>0</v>
      </c>
    </row>
    <row r="402" spans="1:26" x14ac:dyDescent="0.25">
      <c r="A402">
        <v>2018</v>
      </c>
      <c r="B402" t="s">
        <v>54</v>
      </c>
      <c r="C402">
        <v>3090692</v>
      </c>
      <c r="D402">
        <v>3094860</v>
      </c>
      <c r="E402">
        <v>6799812</v>
      </c>
      <c r="F402">
        <v>6732077</v>
      </c>
      <c r="G402">
        <v>500453</v>
      </c>
      <c r="H402">
        <v>16.28</v>
      </c>
      <c r="I402">
        <v>458967</v>
      </c>
      <c r="J402">
        <v>14.93</v>
      </c>
      <c r="K402">
        <v>1819181</v>
      </c>
      <c r="L402">
        <v>1146412</v>
      </c>
      <c r="M402">
        <v>672769</v>
      </c>
      <c r="N402">
        <v>17.029</v>
      </c>
      <c r="O402">
        <v>27.023</v>
      </c>
      <c r="P402">
        <v>1680349</v>
      </c>
      <c r="Q402">
        <v>1047563</v>
      </c>
      <c r="R402">
        <v>632786</v>
      </c>
      <c r="S402">
        <v>15.561</v>
      </c>
      <c r="T402">
        <v>24.96</v>
      </c>
      <c r="U402">
        <v>138832</v>
      </c>
      <c r="V402">
        <v>2.0619999999999998</v>
      </c>
      <c r="W402">
        <v>49.920999999999999</v>
      </c>
      <c r="X402">
        <v>347497</v>
      </c>
      <c r="Y402">
        <v>348623</v>
      </c>
      <c r="Z402">
        <v>828557</v>
      </c>
    </row>
    <row r="403" spans="1:26" x14ac:dyDescent="0.25">
      <c r="A403">
        <v>2018</v>
      </c>
      <c r="B403" t="s">
        <v>55</v>
      </c>
      <c r="C403">
        <v>958160</v>
      </c>
      <c r="D403">
        <v>970472</v>
      </c>
      <c r="E403">
        <v>6792311</v>
      </c>
      <c r="F403">
        <v>6714881</v>
      </c>
      <c r="G403">
        <v>36689</v>
      </c>
      <c r="H403">
        <v>3.7879999999999998</v>
      </c>
      <c r="I403">
        <v>32818</v>
      </c>
      <c r="J403">
        <v>3.3879999999999999</v>
      </c>
      <c r="K403">
        <v>1232072</v>
      </c>
      <c r="L403">
        <v>458579</v>
      </c>
      <c r="M403">
        <v>773493</v>
      </c>
      <c r="N403">
        <v>6.8289999999999997</v>
      </c>
      <c r="O403">
        <v>18.347999999999999</v>
      </c>
      <c r="P403">
        <v>1076588</v>
      </c>
      <c r="Q403">
        <v>412889</v>
      </c>
      <c r="R403">
        <v>663699</v>
      </c>
      <c r="S403">
        <v>6.149</v>
      </c>
      <c r="T403">
        <v>16.033000000000001</v>
      </c>
      <c r="U403">
        <v>155484</v>
      </c>
      <c r="V403">
        <v>2.3159999999999998</v>
      </c>
      <c r="W403">
        <v>32.066000000000003</v>
      </c>
      <c r="X403">
        <v>26426</v>
      </c>
      <c r="Y403">
        <v>27384</v>
      </c>
      <c r="Z403">
        <v>353097</v>
      </c>
    </row>
    <row r="404" spans="1:26" x14ac:dyDescent="0.25">
      <c r="A404">
        <v>2018</v>
      </c>
      <c r="B404" t="s">
        <v>56</v>
      </c>
      <c r="C404">
        <v>602073</v>
      </c>
      <c r="D404">
        <v>635453</v>
      </c>
      <c r="E404">
        <v>8507851</v>
      </c>
      <c r="F404">
        <v>8432583</v>
      </c>
      <c r="G404">
        <v>18477</v>
      </c>
      <c r="H404">
        <v>2.907</v>
      </c>
      <c r="I404">
        <v>18859</v>
      </c>
      <c r="J404">
        <v>2.9670000000000001</v>
      </c>
      <c r="K404">
        <v>1292910</v>
      </c>
      <c r="L404">
        <v>423275</v>
      </c>
      <c r="M404">
        <v>869635</v>
      </c>
      <c r="N404">
        <v>5.0199999999999996</v>
      </c>
      <c r="O404">
        <v>15.332000000000001</v>
      </c>
      <c r="P404">
        <v>1142916</v>
      </c>
      <c r="Q404">
        <v>406956</v>
      </c>
      <c r="R404">
        <v>735960</v>
      </c>
      <c r="S404">
        <v>4.8259999999999996</v>
      </c>
      <c r="T404">
        <v>13.554</v>
      </c>
      <c r="U404">
        <v>149994</v>
      </c>
      <c r="V404">
        <v>1.7789999999999999</v>
      </c>
      <c r="W404">
        <v>27.106999999999999</v>
      </c>
      <c r="X404">
        <v>12610</v>
      </c>
      <c r="Y404">
        <v>14035</v>
      </c>
      <c r="Z404">
        <v>339416</v>
      </c>
    </row>
    <row r="405" spans="1:26" x14ac:dyDescent="0.25">
      <c r="A405">
        <v>2018</v>
      </c>
      <c r="B405" t="s">
        <v>57</v>
      </c>
      <c r="C405">
        <v>525828</v>
      </c>
      <c r="D405">
        <v>708371</v>
      </c>
      <c r="E405">
        <v>21193043</v>
      </c>
      <c r="F405">
        <v>21048988</v>
      </c>
      <c r="G405">
        <v>18937</v>
      </c>
      <c r="H405">
        <v>2.6659999999999999</v>
      </c>
      <c r="I405">
        <v>22627</v>
      </c>
      <c r="J405">
        <v>3.1859999999999999</v>
      </c>
      <c r="K405">
        <v>2692511</v>
      </c>
      <c r="L405">
        <v>742652</v>
      </c>
      <c r="M405">
        <v>1949859</v>
      </c>
      <c r="N405">
        <v>3.528</v>
      </c>
      <c r="O405">
        <v>12.792</v>
      </c>
      <c r="P405">
        <v>2404951</v>
      </c>
      <c r="Q405">
        <v>716793</v>
      </c>
      <c r="R405">
        <v>1688158</v>
      </c>
      <c r="S405">
        <v>3.4049999999999998</v>
      </c>
      <c r="T405">
        <v>11.425000000000001</v>
      </c>
      <c r="U405">
        <v>287560</v>
      </c>
      <c r="V405">
        <v>1.3660000000000001</v>
      </c>
      <c r="W405">
        <v>22.850999999999999</v>
      </c>
      <c r="X405">
        <v>7036</v>
      </c>
      <c r="Y405">
        <v>10122</v>
      </c>
      <c r="Z405">
        <v>511910</v>
      </c>
    </row>
    <row r="406" spans="1:26" x14ac:dyDescent="0.25">
      <c r="A406">
        <v>2018</v>
      </c>
      <c r="B406" t="s">
        <v>58</v>
      </c>
      <c r="C406">
        <v>91571</v>
      </c>
      <c r="D406">
        <v>372452</v>
      </c>
      <c r="E406">
        <v>18086921</v>
      </c>
      <c r="F406">
        <v>17919458</v>
      </c>
      <c r="G406">
        <v>14631</v>
      </c>
      <c r="H406">
        <v>3.9279999999999999</v>
      </c>
      <c r="I406">
        <v>14660</v>
      </c>
      <c r="J406">
        <v>3.9359999999999999</v>
      </c>
      <c r="K406">
        <v>2191266</v>
      </c>
      <c r="L406">
        <v>464022</v>
      </c>
      <c r="M406">
        <v>1727244</v>
      </c>
      <c r="N406">
        <v>2.589</v>
      </c>
      <c r="O406">
        <v>12.228</v>
      </c>
      <c r="P406">
        <v>1856719</v>
      </c>
      <c r="Q406">
        <v>467436</v>
      </c>
      <c r="R406">
        <v>1389283</v>
      </c>
      <c r="S406">
        <v>2.609</v>
      </c>
      <c r="T406">
        <v>10.361000000000001</v>
      </c>
      <c r="U406">
        <v>334547</v>
      </c>
      <c r="V406">
        <v>1.867</v>
      </c>
      <c r="W406">
        <v>20.722999999999999</v>
      </c>
      <c r="X406">
        <v>609</v>
      </c>
      <c r="Y406">
        <v>2961</v>
      </c>
      <c r="Z406">
        <v>214457</v>
      </c>
    </row>
    <row r="407" spans="1:26" x14ac:dyDescent="0.25">
      <c r="A407">
        <v>2018</v>
      </c>
      <c r="B407" t="s">
        <v>59</v>
      </c>
      <c r="C407">
        <v>10973</v>
      </c>
      <c r="D407">
        <v>135960</v>
      </c>
      <c r="E407">
        <v>7020599</v>
      </c>
      <c r="F407">
        <v>6935954</v>
      </c>
      <c r="G407">
        <v>7680</v>
      </c>
      <c r="H407">
        <v>5.68</v>
      </c>
      <c r="I407">
        <v>6164</v>
      </c>
      <c r="J407">
        <v>4.5590000000000002</v>
      </c>
      <c r="K407">
        <v>894508</v>
      </c>
      <c r="L407">
        <v>209319</v>
      </c>
      <c r="M407">
        <v>685189</v>
      </c>
      <c r="N407">
        <v>3.0179999999999998</v>
      </c>
      <c r="O407">
        <v>12.897</v>
      </c>
      <c r="P407">
        <v>726184</v>
      </c>
      <c r="Q407">
        <v>148827</v>
      </c>
      <c r="R407">
        <v>577357</v>
      </c>
      <c r="S407">
        <v>2.1459999999999999</v>
      </c>
      <c r="T407">
        <v>10.47</v>
      </c>
      <c r="U407">
        <v>168324</v>
      </c>
      <c r="V407">
        <v>2.427</v>
      </c>
      <c r="W407">
        <v>20.94</v>
      </c>
      <c r="X407">
        <v>22</v>
      </c>
      <c r="Y407">
        <v>796</v>
      </c>
      <c r="Z407">
        <v>29751</v>
      </c>
    </row>
    <row r="408" spans="1:26" x14ac:dyDescent="0.25">
      <c r="A408">
        <v>2018</v>
      </c>
      <c r="B408" t="s">
        <v>60</v>
      </c>
      <c r="C408">
        <v>6590</v>
      </c>
      <c r="D408">
        <v>164400</v>
      </c>
      <c r="E408">
        <v>9262917</v>
      </c>
      <c r="F408">
        <v>9154094</v>
      </c>
      <c r="G408">
        <v>11614</v>
      </c>
      <c r="H408">
        <v>7.133</v>
      </c>
      <c r="I408">
        <v>8455</v>
      </c>
      <c r="J408">
        <v>5.1929999999999996</v>
      </c>
      <c r="K408">
        <v>1083685</v>
      </c>
      <c r="L408">
        <v>282081</v>
      </c>
      <c r="M408">
        <v>801604</v>
      </c>
      <c r="N408">
        <v>3.081</v>
      </c>
      <c r="O408">
        <v>11.837999999999999</v>
      </c>
      <c r="P408">
        <v>871905</v>
      </c>
      <c r="Q408">
        <v>191592</v>
      </c>
      <c r="R408">
        <v>680313</v>
      </c>
      <c r="S408">
        <v>2.093</v>
      </c>
      <c r="T408">
        <v>9.5250000000000004</v>
      </c>
      <c r="U408">
        <v>211780</v>
      </c>
      <c r="V408">
        <v>2.3140000000000001</v>
      </c>
      <c r="W408">
        <v>19.05</v>
      </c>
      <c r="X408">
        <v>12</v>
      </c>
      <c r="Y408">
        <v>838</v>
      </c>
      <c r="Z408">
        <v>36820</v>
      </c>
    </row>
    <row r="409" spans="1:26" x14ac:dyDescent="0.25">
      <c r="A409">
        <v>2018</v>
      </c>
      <c r="B409" t="s">
        <v>61</v>
      </c>
      <c r="C409">
        <v>2477</v>
      </c>
      <c r="D409">
        <v>135897</v>
      </c>
      <c r="E409">
        <v>7152835</v>
      </c>
      <c r="F409">
        <v>7070162</v>
      </c>
      <c r="G409">
        <v>8132</v>
      </c>
      <c r="H409">
        <v>5.9260000000000002</v>
      </c>
      <c r="I409">
        <v>10783</v>
      </c>
      <c r="J409">
        <v>7.8579999999999997</v>
      </c>
      <c r="K409">
        <v>839128</v>
      </c>
      <c r="L409">
        <v>222523</v>
      </c>
      <c r="M409">
        <v>616605</v>
      </c>
      <c r="N409">
        <v>3.1469999999999998</v>
      </c>
      <c r="O409">
        <v>11.869</v>
      </c>
      <c r="P409">
        <v>672518</v>
      </c>
      <c r="Q409">
        <v>182561</v>
      </c>
      <c r="R409">
        <v>489957</v>
      </c>
      <c r="S409">
        <v>2.5819999999999999</v>
      </c>
      <c r="T409">
        <v>9.5120000000000005</v>
      </c>
      <c r="U409">
        <v>166610</v>
      </c>
      <c r="V409">
        <v>2.3570000000000002</v>
      </c>
      <c r="W409">
        <v>19.024000000000001</v>
      </c>
      <c r="X409">
        <v>3</v>
      </c>
      <c r="Y409">
        <v>150</v>
      </c>
      <c r="Z409">
        <v>21093</v>
      </c>
    </row>
    <row r="410" spans="1:26" x14ac:dyDescent="0.25">
      <c r="A410">
        <v>2018</v>
      </c>
      <c r="B410" t="s">
        <v>63</v>
      </c>
      <c r="C410">
        <v>1361</v>
      </c>
      <c r="D410">
        <v>137082</v>
      </c>
      <c r="E410">
        <v>7342625</v>
      </c>
      <c r="F410">
        <v>7294059</v>
      </c>
      <c r="G410">
        <v>9501</v>
      </c>
      <c r="H410">
        <v>6.9859999999999998</v>
      </c>
      <c r="I410">
        <v>7333</v>
      </c>
      <c r="J410">
        <v>5.3920000000000003</v>
      </c>
      <c r="K410">
        <v>828581</v>
      </c>
      <c r="L410">
        <v>187264</v>
      </c>
      <c r="M410">
        <v>641317</v>
      </c>
      <c r="N410">
        <v>2.5670000000000002</v>
      </c>
      <c r="O410">
        <v>11.36</v>
      </c>
      <c r="P410">
        <v>721600</v>
      </c>
      <c r="Q410">
        <v>178418</v>
      </c>
      <c r="R410">
        <v>543182</v>
      </c>
      <c r="S410">
        <v>2.4460000000000002</v>
      </c>
      <c r="T410">
        <v>9.8930000000000007</v>
      </c>
      <c r="U410">
        <v>106981</v>
      </c>
      <c r="V410">
        <v>1.4670000000000001</v>
      </c>
      <c r="W410">
        <v>19.786000000000001</v>
      </c>
      <c r="X410">
        <v>0</v>
      </c>
      <c r="Y410">
        <v>0</v>
      </c>
      <c r="Z410">
        <v>0</v>
      </c>
    </row>
    <row r="411" spans="1:26" x14ac:dyDescent="0.25">
      <c r="A411">
        <v>2018</v>
      </c>
      <c r="B411" t="s">
        <v>64</v>
      </c>
      <c r="C411">
        <v>1203</v>
      </c>
      <c r="D411">
        <v>745838</v>
      </c>
      <c r="E411">
        <v>37467323</v>
      </c>
      <c r="F411">
        <v>37268735</v>
      </c>
      <c r="G411">
        <v>40622</v>
      </c>
      <c r="H411">
        <v>5.4130000000000003</v>
      </c>
      <c r="I411">
        <v>49819</v>
      </c>
      <c r="J411">
        <v>6.6390000000000002</v>
      </c>
      <c r="K411">
        <v>3578790</v>
      </c>
      <c r="L411">
        <v>924541</v>
      </c>
      <c r="M411">
        <v>2654249</v>
      </c>
      <c r="N411">
        <v>2.4809999999999999</v>
      </c>
      <c r="O411">
        <v>9.6029999999999998</v>
      </c>
      <c r="P411">
        <v>3178964</v>
      </c>
      <c r="Q411">
        <v>883113</v>
      </c>
      <c r="R411">
        <v>2295851</v>
      </c>
      <c r="S411">
        <v>2.37</v>
      </c>
      <c r="T411">
        <v>8.5299999999999994</v>
      </c>
      <c r="U411">
        <v>399826</v>
      </c>
      <c r="V411">
        <v>1.073</v>
      </c>
      <c r="W411">
        <v>17.059999999999999</v>
      </c>
      <c r="X411">
        <v>0</v>
      </c>
      <c r="Y411">
        <v>0</v>
      </c>
      <c r="Z411">
        <v>0</v>
      </c>
    </row>
    <row r="412" spans="1:26" x14ac:dyDescent="0.25">
      <c r="A412">
        <v>2019</v>
      </c>
      <c r="B412" t="s">
        <v>54</v>
      </c>
      <c r="C412">
        <v>3126450</v>
      </c>
      <c r="D412">
        <v>3131871</v>
      </c>
      <c r="E412">
        <v>6834642</v>
      </c>
      <c r="F412">
        <v>6780842</v>
      </c>
      <c r="G412">
        <v>517177</v>
      </c>
      <c r="H412">
        <v>16.649999999999999</v>
      </c>
      <c r="I412">
        <v>465766</v>
      </c>
      <c r="J412">
        <v>14.994999999999999</v>
      </c>
      <c r="K412">
        <v>1824105</v>
      </c>
      <c r="L412">
        <v>1179935</v>
      </c>
      <c r="M412">
        <v>644170</v>
      </c>
      <c r="N412">
        <v>17.401</v>
      </c>
      <c r="O412">
        <v>26.901</v>
      </c>
      <c r="P412">
        <v>1715401</v>
      </c>
      <c r="Q412">
        <v>1063135</v>
      </c>
      <c r="R412">
        <v>652266</v>
      </c>
      <c r="S412">
        <v>15.679</v>
      </c>
      <c r="T412">
        <v>25.297999999999998</v>
      </c>
      <c r="U412">
        <v>108704</v>
      </c>
      <c r="V412">
        <v>1.603</v>
      </c>
      <c r="W412">
        <v>50.595999999999997</v>
      </c>
      <c r="X412">
        <v>356027</v>
      </c>
      <c r="Y412">
        <v>357321</v>
      </c>
      <c r="Z412">
        <v>848471</v>
      </c>
    </row>
    <row r="413" spans="1:26" x14ac:dyDescent="0.25">
      <c r="A413">
        <v>2019</v>
      </c>
      <c r="B413" t="s">
        <v>55</v>
      </c>
      <c r="C413">
        <v>959248</v>
      </c>
      <c r="D413">
        <v>973543</v>
      </c>
      <c r="E413">
        <v>6744804</v>
      </c>
      <c r="F413">
        <v>6740773</v>
      </c>
      <c r="G413">
        <v>34800</v>
      </c>
      <c r="H413">
        <v>3.5750000000000002</v>
      </c>
      <c r="I413">
        <v>34478</v>
      </c>
      <c r="J413">
        <v>3.5419999999999998</v>
      </c>
      <c r="K413">
        <v>1158356</v>
      </c>
      <c r="L413">
        <v>439310</v>
      </c>
      <c r="M413">
        <v>719046</v>
      </c>
      <c r="N413">
        <v>6.5170000000000003</v>
      </c>
      <c r="O413">
        <v>17.184000000000001</v>
      </c>
      <c r="P413">
        <v>1149934</v>
      </c>
      <c r="Q413">
        <v>436039</v>
      </c>
      <c r="R413">
        <v>713895</v>
      </c>
      <c r="S413">
        <v>6.4690000000000003</v>
      </c>
      <c r="T413">
        <v>17.059000000000001</v>
      </c>
      <c r="U413">
        <v>8422</v>
      </c>
      <c r="V413">
        <v>0.125</v>
      </c>
      <c r="W413">
        <v>34.119</v>
      </c>
      <c r="X413">
        <v>28195</v>
      </c>
      <c r="Y413">
        <v>29286</v>
      </c>
      <c r="Z413">
        <v>374890</v>
      </c>
    </row>
    <row r="414" spans="1:26" x14ac:dyDescent="0.25">
      <c r="A414">
        <v>2019</v>
      </c>
      <c r="B414" t="s">
        <v>56</v>
      </c>
      <c r="C414">
        <v>607072</v>
      </c>
      <c r="D414">
        <v>642480</v>
      </c>
      <c r="E414">
        <v>8558871</v>
      </c>
      <c r="F414">
        <v>8509298</v>
      </c>
      <c r="G414">
        <v>18248</v>
      </c>
      <c r="H414">
        <v>2.8420000000000001</v>
      </c>
      <c r="I414">
        <v>17388</v>
      </c>
      <c r="J414">
        <v>2.7080000000000002</v>
      </c>
      <c r="K414">
        <v>1256715</v>
      </c>
      <c r="L414">
        <v>422266</v>
      </c>
      <c r="M414">
        <v>834449</v>
      </c>
      <c r="N414">
        <v>4.9619999999999997</v>
      </c>
      <c r="O414">
        <v>14.769</v>
      </c>
      <c r="P414">
        <v>1157686</v>
      </c>
      <c r="Q414">
        <v>404569</v>
      </c>
      <c r="R414">
        <v>753117</v>
      </c>
      <c r="S414">
        <v>4.7539999999999996</v>
      </c>
      <c r="T414">
        <v>13.605</v>
      </c>
      <c r="U414">
        <v>99029</v>
      </c>
      <c r="V414">
        <v>1.1639999999999999</v>
      </c>
      <c r="W414">
        <v>27.21</v>
      </c>
      <c r="X414">
        <v>13021</v>
      </c>
      <c r="Y414">
        <v>14443</v>
      </c>
      <c r="Z414">
        <v>350407</v>
      </c>
    </row>
    <row r="415" spans="1:26" x14ac:dyDescent="0.25">
      <c r="A415">
        <v>2019</v>
      </c>
      <c r="B415" t="s">
        <v>57</v>
      </c>
      <c r="C415">
        <v>531608</v>
      </c>
      <c r="D415">
        <v>713358</v>
      </c>
      <c r="E415">
        <v>21463640</v>
      </c>
      <c r="F415">
        <v>21238949</v>
      </c>
      <c r="G415">
        <v>21204</v>
      </c>
      <c r="H415">
        <v>2.984</v>
      </c>
      <c r="I415">
        <v>15695</v>
      </c>
      <c r="J415">
        <v>2.2090000000000001</v>
      </c>
      <c r="K415">
        <v>2586286</v>
      </c>
      <c r="L415">
        <v>765932</v>
      </c>
      <c r="M415">
        <v>1820354</v>
      </c>
      <c r="N415">
        <v>3.6059999999999999</v>
      </c>
      <c r="O415">
        <v>12.177</v>
      </c>
      <c r="P415">
        <v>2137558</v>
      </c>
      <c r="Q415">
        <v>621729</v>
      </c>
      <c r="R415">
        <v>1515829</v>
      </c>
      <c r="S415">
        <v>2.927</v>
      </c>
      <c r="T415">
        <v>10.064</v>
      </c>
      <c r="U415">
        <v>448728</v>
      </c>
      <c r="V415">
        <v>2.113</v>
      </c>
      <c r="W415">
        <v>20.129000000000001</v>
      </c>
      <c r="X415">
        <v>7081</v>
      </c>
      <c r="Y415">
        <v>9658</v>
      </c>
      <c r="Z415">
        <v>505285</v>
      </c>
    </row>
    <row r="416" spans="1:26" x14ac:dyDescent="0.25">
      <c r="A416">
        <v>2019</v>
      </c>
      <c r="B416" t="s">
        <v>58</v>
      </c>
      <c r="C416">
        <v>93111</v>
      </c>
      <c r="D416">
        <v>375134</v>
      </c>
      <c r="E416">
        <v>18373547</v>
      </c>
      <c r="F416">
        <v>18131946</v>
      </c>
      <c r="G416">
        <v>21979</v>
      </c>
      <c r="H416">
        <v>5.9379999999999997</v>
      </c>
      <c r="I416">
        <v>12011</v>
      </c>
      <c r="J416">
        <v>3.2450000000000001</v>
      </c>
      <c r="K416">
        <v>2095705</v>
      </c>
      <c r="L416">
        <v>594981</v>
      </c>
      <c r="M416">
        <v>1500724</v>
      </c>
      <c r="N416">
        <v>3.2810000000000001</v>
      </c>
      <c r="O416">
        <v>11.558</v>
      </c>
      <c r="P416">
        <v>1609060</v>
      </c>
      <c r="Q416">
        <v>345830</v>
      </c>
      <c r="R416">
        <v>1263230</v>
      </c>
      <c r="S416">
        <v>1.907</v>
      </c>
      <c r="T416">
        <v>8.8740000000000006</v>
      </c>
      <c r="U416">
        <v>486645</v>
      </c>
      <c r="V416">
        <v>2.6840000000000002</v>
      </c>
      <c r="W416">
        <v>17.748000000000001</v>
      </c>
      <c r="X416">
        <v>528</v>
      </c>
      <c r="Y416">
        <v>1638</v>
      </c>
      <c r="Z416">
        <v>183489</v>
      </c>
    </row>
    <row r="417" spans="1:26" x14ac:dyDescent="0.25">
      <c r="A417">
        <v>2019</v>
      </c>
      <c r="B417" t="s">
        <v>59</v>
      </c>
      <c r="C417">
        <v>11180</v>
      </c>
      <c r="D417">
        <v>138082</v>
      </c>
      <c r="E417">
        <v>7108696</v>
      </c>
      <c r="F417">
        <v>7040872</v>
      </c>
      <c r="G417">
        <v>9405</v>
      </c>
      <c r="H417">
        <v>6.9</v>
      </c>
      <c r="I417">
        <v>5834</v>
      </c>
      <c r="J417">
        <v>4.28</v>
      </c>
      <c r="K417">
        <v>838419</v>
      </c>
      <c r="L417">
        <v>204883</v>
      </c>
      <c r="M417">
        <v>633536</v>
      </c>
      <c r="N417">
        <v>2.91</v>
      </c>
      <c r="O417">
        <v>11.907999999999999</v>
      </c>
      <c r="P417">
        <v>705709</v>
      </c>
      <c r="Q417">
        <v>144418</v>
      </c>
      <c r="R417">
        <v>561291</v>
      </c>
      <c r="S417">
        <v>2.0510000000000002</v>
      </c>
      <c r="T417">
        <v>10.023</v>
      </c>
      <c r="U417">
        <v>132710</v>
      </c>
      <c r="V417">
        <v>1.885</v>
      </c>
      <c r="W417">
        <v>20.045999999999999</v>
      </c>
      <c r="X417">
        <v>26</v>
      </c>
      <c r="Y417">
        <v>567</v>
      </c>
      <c r="Z417">
        <v>35703</v>
      </c>
    </row>
    <row r="418" spans="1:26" x14ac:dyDescent="0.25">
      <c r="A418">
        <v>2019</v>
      </c>
      <c r="B418" t="s">
        <v>60</v>
      </c>
      <c r="C418">
        <v>6776</v>
      </c>
      <c r="D418">
        <v>167211</v>
      </c>
      <c r="E418">
        <v>9513718</v>
      </c>
      <c r="F418">
        <v>9389462</v>
      </c>
      <c r="G418">
        <v>11449</v>
      </c>
      <c r="H418">
        <v>6.9210000000000003</v>
      </c>
      <c r="I418">
        <v>7871</v>
      </c>
      <c r="J418">
        <v>4.758</v>
      </c>
      <c r="K418">
        <v>1064505</v>
      </c>
      <c r="L418">
        <v>286701</v>
      </c>
      <c r="M418">
        <v>777804</v>
      </c>
      <c r="N418">
        <v>3.0529999999999999</v>
      </c>
      <c r="O418">
        <v>11.337</v>
      </c>
      <c r="P418">
        <v>815376</v>
      </c>
      <c r="Q418">
        <v>167760</v>
      </c>
      <c r="R418">
        <v>647616</v>
      </c>
      <c r="S418">
        <v>1.7869999999999999</v>
      </c>
      <c r="T418">
        <v>8.6839999999999993</v>
      </c>
      <c r="U418">
        <v>249129</v>
      </c>
      <c r="V418">
        <v>2.653</v>
      </c>
      <c r="W418">
        <v>17.367999999999999</v>
      </c>
      <c r="X418">
        <v>6</v>
      </c>
      <c r="Y418">
        <v>50</v>
      </c>
      <c r="Z418">
        <v>17295</v>
      </c>
    </row>
    <row r="419" spans="1:26" x14ac:dyDescent="0.25">
      <c r="A419">
        <v>2019</v>
      </c>
      <c r="B419" t="s">
        <v>61</v>
      </c>
      <c r="C419">
        <v>2603</v>
      </c>
      <c r="D419">
        <v>142562</v>
      </c>
      <c r="E419">
        <v>7242228</v>
      </c>
      <c r="F419">
        <v>7183049</v>
      </c>
      <c r="G419">
        <v>7604</v>
      </c>
      <c r="H419">
        <v>5.3440000000000003</v>
      </c>
      <c r="I419">
        <v>7036</v>
      </c>
      <c r="J419">
        <v>4.9450000000000003</v>
      </c>
      <c r="K419">
        <v>799201</v>
      </c>
      <c r="L419">
        <v>236456</v>
      </c>
      <c r="M419">
        <v>562745</v>
      </c>
      <c r="N419">
        <v>3.2919999999999998</v>
      </c>
      <c r="O419">
        <v>11.125999999999999</v>
      </c>
      <c r="P419">
        <v>680609</v>
      </c>
      <c r="Q419">
        <v>166863</v>
      </c>
      <c r="R419">
        <v>513746</v>
      </c>
      <c r="S419">
        <v>2.323</v>
      </c>
      <c r="T419">
        <v>9.4749999999999996</v>
      </c>
      <c r="U419">
        <v>118592</v>
      </c>
      <c r="V419">
        <v>1.651</v>
      </c>
      <c r="W419">
        <v>18.95</v>
      </c>
      <c r="X419" t="s">
        <v>62</v>
      </c>
      <c r="Y419" t="s">
        <v>62</v>
      </c>
      <c r="Z419" t="s">
        <v>62</v>
      </c>
    </row>
    <row r="420" spans="1:26" x14ac:dyDescent="0.25">
      <c r="A420">
        <v>2019</v>
      </c>
      <c r="B420" t="s">
        <v>63</v>
      </c>
      <c r="C420">
        <v>1460</v>
      </c>
      <c r="D420">
        <v>136476</v>
      </c>
      <c r="E420">
        <v>7523249</v>
      </c>
      <c r="F420">
        <v>7492921</v>
      </c>
      <c r="G420">
        <v>6703</v>
      </c>
      <c r="H420">
        <v>4.9269999999999996</v>
      </c>
      <c r="I420">
        <v>5856</v>
      </c>
      <c r="J420">
        <v>4.3040000000000003</v>
      </c>
      <c r="K420">
        <v>719539</v>
      </c>
      <c r="L420">
        <v>165137</v>
      </c>
      <c r="M420">
        <v>554402</v>
      </c>
      <c r="N420">
        <v>2.2040000000000002</v>
      </c>
      <c r="O420">
        <v>9.6029999999999998</v>
      </c>
      <c r="P420">
        <v>665432</v>
      </c>
      <c r="Q420">
        <v>142788</v>
      </c>
      <c r="R420">
        <v>522644</v>
      </c>
      <c r="S420">
        <v>1.9059999999999999</v>
      </c>
      <c r="T420">
        <v>8.8810000000000002</v>
      </c>
      <c r="U420">
        <v>54107</v>
      </c>
      <c r="V420">
        <v>0.72199999999999998</v>
      </c>
      <c r="W420">
        <v>17.762</v>
      </c>
      <c r="X420">
        <v>0</v>
      </c>
      <c r="Y420">
        <v>0</v>
      </c>
      <c r="Z420">
        <v>0</v>
      </c>
    </row>
    <row r="421" spans="1:26" x14ac:dyDescent="0.25">
      <c r="A421">
        <v>2019</v>
      </c>
      <c r="B421" t="s">
        <v>64</v>
      </c>
      <c r="C421">
        <v>1283</v>
      </c>
      <c r="D421">
        <v>756349</v>
      </c>
      <c r="E421">
        <v>38468192</v>
      </c>
      <c r="F421">
        <v>38166348</v>
      </c>
      <c r="G421">
        <v>37695</v>
      </c>
      <c r="H421">
        <v>4.9850000000000003</v>
      </c>
      <c r="I421">
        <v>37457</v>
      </c>
      <c r="J421">
        <v>4.9530000000000003</v>
      </c>
      <c r="K421">
        <v>3469072</v>
      </c>
      <c r="L421">
        <v>758331</v>
      </c>
      <c r="M421">
        <v>2710741</v>
      </c>
      <c r="N421">
        <v>1.9870000000000001</v>
      </c>
      <c r="O421">
        <v>9.0890000000000004</v>
      </c>
      <c r="P421">
        <v>2893607</v>
      </c>
      <c r="Q421">
        <v>842696</v>
      </c>
      <c r="R421">
        <v>2050911</v>
      </c>
      <c r="S421">
        <v>2.2080000000000002</v>
      </c>
      <c r="T421">
        <v>7.5819999999999999</v>
      </c>
      <c r="U421">
        <v>575465</v>
      </c>
      <c r="V421">
        <v>1.508</v>
      </c>
      <c r="W421">
        <v>15.163</v>
      </c>
      <c r="X421" t="s">
        <v>62</v>
      </c>
      <c r="Y421" t="s">
        <v>62</v>
      </c>
      <c r="Z421" t="s">
        <v>62</v>
      </c>
    </row>
    <row r="422" spans="1:26" x14ac:dyDescent="0.25">
      <c r="A422">
        <v>2020</v>
      </c>
      <c r="B422" t="s">
        <v>54</v>
      </c>
      <c r="C422">
        <v>3141659</v>
      </c>
      <c r="D422">
        <v>3147826</v>
      </c>
      <c r="E422">
        <v>6832988</v>
      </c>
      <c r="F422">
        <v>6839782</v>
      </c>
      <c r="G422">
        <v>524568</v>
      </c>
      <c r="H422">
        <v>16.698</v>
      </c>
      <c r="I422">
        <v>512006</v>
      </c>
      <c r="J422">
        <v>16.297999999999998</v>
      </c>
      <c r="K422">
        <v>1829946</v>
      </c>
      <c r="L422">
        <v>1186965</v>
      </c>
      <c r="M422">
        <v>642981</v>
      </c>
      <c r="N422">
        <v>17.353999999999999</v>
      </c>
      <c r="O422">
        <v>26.754000000000001</v>
      </c>
      <c r="P422">
        <v>1841749</v>
      </c>
      <c r="Q422">
        <v>1173517</v>
      </c>
      <c r="R422">
        <v>668232</v>
      </c>
      <c r="S422">
        <v>17.157</v>
      </c>
      <c r="T422">
        <v>26.927</v>
      </c>
      <c r="U422">
        <v>-11803</v>
      </c>
      <c r="V422">
        <v>-0.17299999999999999</v>
      </c>
      <c r="W422">
        <v>53.509</v>
      </c>
      <c r="X422">
        <v>367722</v>
      </c>
      <c r="Y422">
        <v>369248</v>
      </c>
      <c r="Z422">
        <v>872693</v>
      </c>
    </row>
    <row r="423" spans="1:26" x14ac:dyDescent="0.25">
      <c r="A423">
        <v>2020</v>
      </c>
      <c r="B423" t="s">
        <v>55</v>
      </c>
      <c r="C423">
        <v>948989</v>
      </c>
      <c r="D423">
        <v>964519</v>
      </c>
      <c r="E423">
        <v>6663511</v>
      </c>
      <c r="F423">
        <v>6680567</v>
      </c>
      <c r="G423">
        <v>34595</v>
      </c>
      <c r="H423">
        <v>3.5830000000000002</v>
      </c>
      <c r="I423">
        <v>36357</v>
      </c>
      <c r="J423">
        <v>3.766</v>
      </c>
      <c r="K423">
        <v>1132409</v>
      </c>
      <c r="L423">
        <v>431122</v>
      </c>
      <c r="M423">
        <v>701287</v>
      </c>
      <c r="N423">
        <v>6.4530000000000003</v>
      </c>
      <c r="O423">
        <v>16.951000000000001</v>
      </c>
      <c r="P423">
        <v>1165871</v>
      </c>
      <c r="Q423">
        <v>462179</v>
      </c>
      <c r="R423">
        <v>703692</v>
      </c>
      <c r="S423">
        <v>6.9180000000000001</v>
      </c>
      <c r="T423">
        <v>17.452000000000002</v>
      </c>
      <c r="U423">
        <v>-33462</v>
      </c>
      <c r="V423">
        <v>-0.501</v>
      </c>
      <c r="W423">
        <v>33.902000000000001</v>
      </c>
      <c r="X423">
        <v>27909</v>
      </c>
      <c r="Y423">
        <v>29136</v>
      </c>
      <c r="Z423">
        <v>374277</v>
      </c>
    </row>
    <row r="424" spans="1:26" x14ac:dyDescent="0.25">
      <c r="A424">
        <v>2020</v>
      </c>
      <c r="B424" t="s">
        <v>56</v>
      </c>
      <c r="C424">
        <v>605076</v>
      </c>
      <c r="D424">
        <v>641546</v>
      </c>
      <c r="E424">
        <v>8501604</v>
      </c>
      <c r="F424">
        <v>8502251</v>
      </c>
      <c r="G424">
        <v>18588</v>
      </c>
      <c r="H424">
        <v>2.8969999999999998</v>
      </c>
      <c r="I424">
        <v>18691</v>
      </c>
      <c r="J424">
        <v>2.9129999999999998</v>
      </c>
      <c r="K424">
        <v>1220730</v>
      </c>
      <c r="L424">
        <v>415602</v>
      </c>
      <c r="M424">
        <v>805128</v>
      </c>
      <c r="N424">
        <v>4.8879999999999999</v>
      </c>
      <c r="O424">
        <v>14.358000000000001</v>
      </c>
      <c r="P424">
        <v>1221828</v>
      </c>
      <c r="Q424">
        <v>433403</v>
      </c>
      <c r="R424">
        <v>788425</v>
      </c>
      <c r="S424">
        <v>5.0979999999999999</v>
      </c>
      <c r="T424">
        <v>14.371</v>
      </c>
      <c r="U424">
        <v>-1098</v>
      </c>
      <c r="V424">
        <v>-1.2999999999999999E-2</v>
      </c>
      <c r="W424">
        <v>28.715</v>
      </c>
      <c r="X424">
        <v>13281</v>
      </c>
      <c r="Y424">
        <v>14872</v>
      </c>
      <c r="Z424">
        <v>357736</v>
      </c>
    </row>
    <row r="425" spans="1:26" x14ac:dyDescent="0.25">
      <c r="A425">
        <v>2020</v>
      </c>
      <c r="B425" t="s">
        <v>57</v>
      </c>
      <c r="C425">
        <v>532499</v>
      </c>
      <c r="D425">
        <v>714539</v>
      </c>
      <c r="E425">
        <v>21414061</v>
      </c>
      <c r="F425">
        <v>21318100</v>
      </c>
      <c r="G425">
        <v>23344</v>
      </c>
      <c r="H425">
        <v>3.282</v>
      </c>
      <c r="I425">
        <v>16788</v>
      </c>
      <c r="J425">
        <v>2.36</v>
      </c>
      <c r="K425">
        <v>2525127</v>
      </c>
      <c r="L425">
        <v>814694</v>
      </c>
      <c r="M425">
        <v>1710433</v>
      </c>
      <c r="N425">
        <v>3.8220000000000001</v>
      </c>
      <c r="O425">
        <v>11.845000000000001</v>
      </c>
      <c r="P425">
        <v>2333575</v>
      </c>
      <c r="Q425">
        <v>671618</v>
      </c>
      <c r="R425">
        <v>1661957</v>
      </c>
      <c r="S425">
        <v>3.15</v>
      </c>
      <c r="T425">
        <v>10.946</v>
      </c>
      <c r="U425">
        <v>191552</v>
      </c>
      <c r="V425">
        <v>0.89900000000000002</v>
      </c>
      <c r="W425">
        <v>21.893000000000001</v>
      </c>
      <c r="X425">
        <v>7448</v>
      </c>
      <c r="Y425">
        <v>10436</v>
      </c>
      <c r="Z425">
        <v>540095</v>
      </c>
    </row>
    <row r="426" spans="1:26" x14ac:dyDescent="0.25">
      <c r="A426">
        <v>2020</v>
      </c>
      <c r="B426" t="s">
        <v>58</v>
      </c>
      <c r="C426">
        <v>93692</v>
      </c>
      <c r="D426">
        <v>376237</v>
      </c>
      <c r="E426">
        <v>18423408</v>
      </c>
      <c r="F426">
        <v>18300347</v>
      </c>
      <c r="G426">
        <v>19755</v>
      </c>
      <c r="H426">
        <v>5.298</v>
      </c>
      <c r="I426">
        <v>12964</v>
      </c>
      <c r="J426">
        <v>3.4769999999999999</v>
      </c>
      <c r="K426">
        <v>1915513</v>
      </c>
      <c r="L426">
        <v>502131</v>
      </c>
      <c r="M426">
        <v>1413382</v>
      </c>
      <c r="N426">
        <v>2.7440000000000002</v>
      </c>
      <c r="O426">
        <v>10.467000000000001</v>
      </c>
      <c r="P426">
        <v>1671704</v>
      </c>
      <c r="Q426">
        <v>363484</v>
      </c>
      <c r="R426">
        <v>1308220</v>
      </c>
      <c r="S426">
        <v>1.986</v>
      </c>
      <c r="T426">
        <v>9.1349999999999998</v>
      </c>
      <c r="U426">
        <v>243809</v>
      </c>
      <c r="V426">
        <v>1.3320000000000001</v>
      </c>
      <c r="W426">
        <v>18.27</v>
      </c>
      <c r="X426">
        <v>559</v>
      </c>
      <c r="Y426">
        <v>2065</v>
      </c>
      <c r="Z426">
        <v>192582</v>
      </c>
    </row>
    <row r="427" spans="1:26" x14ac:dyDescent="0.25">
      <c r="A427">
        <v>2020</v>
      </c>
      <c r="B427" t="s">
        <v>59</v>
      </c>
      <c r="C427">
        <v>11338</v>
      </c>
      <c r="D427">
        <v>138896</v>
      </c>
      <c r="E427">
        <v>7184070</v>
      </c>
      <c r="F427">
        <v>7135047</v>
      </c>
      <c r="G427">
        <v>9154</v>
      </c>
      <c r="H427">
        <v>6.6619999999999999</v>
      </c>
      <c r="I427">
        <v>6161</v>
      </c>
      <c r="J427">
        <v>4.484</v>
      </c>
      <c r="K427">
        <v>861826</v>
      </c>
      <c r="L427">
        <v>218973</v>
      </c>
      <c r="M427">
        <v>642853</v>
      </c>
      <c r="N427">
        <v>3.069</v>
      </c>
      <c r="O427">
        <v>12.079000000000001</v>
      </c>
      <c r="P427">
        <v>762189</v>
      </c>
      <c r="Q427">
        <v>152582</v>
      </c>
      <c r="R427">
        <v>609607</v>
      </c>
      <c r="S427">
        <v>2.1379999999999999</v>
      </c>
      <c r="T427">
        <v>10.682</v>
      </c>
      <c r="U427">
        <v>99637</v>
      </c>
      <c r="V427">
        <v>1.3959999999999999</v>
      </c>
      <c r="W427">
        <v>21.364999999999998</v>
      </c>
      <c r="X427">
        <v>27</v>
      </c>
      <c r="Y427">
        <v>251</v>
      </c>
      <c r="Z427">
        <v>33981</v>
      </c>
    </row>
    <row r="428" spans="1:26" x14ac:dyDescent="0.25">
      <c r="A428">
        <v>2020</v>
      </c>
      <c r="B428" t="s">
        <v>60</v>
      </c>
      <c r="C428">
        <v>6993</v>
      </c>
      <c r="D428">
        <v>173121</v>
      </c>
      <c r="E428">
        <v>9579366</v>
      </c>
      <c r="F428">
        <v>9545489</v>
      </c>
      <c r="G428">
        <v>11557</v>
      </c>
      <c r="H428">
        <v>6.7409999999999997</v>
      </c>
      <c r="I428">
        <v>8193</v>
      </c>
      <c r="J428">
        <v>4.7789999999999999</v>
      </c>
      <c r="K428">
        <v>1062863</v>
      </c>
      <c r="L428">
        <v>303568</v>
      </c>
      <c r="M428">
        <v>759295</v>
      </c>
      <c r="N428">
        <v>3.18</v>
      </c>
      <c r="O428">
        <v>11.135</v>
      </c>
      <c r="P428">
        <v>992636</v>
      </c>
      <c r="Q428">
        <v>196411</v>
      </c>
      <c r="R428">
        <v>796225</v>
      </c>
      <c r="S428">
        <v>2.0579999999999998</v>
      </c>
      <c r="T428">
        <v>10.398999999999999</v>
      </c>
      <c r="U428">
        <v>70227</v>
      </c>
      <c r="V428">
        <v>0.73599999999999999</v>
      </c>
      <c r="W428">
        <v>20.797999999999998</v>
      </c>
      <c r="X428">
        <v>13</v>
      </c>
      <c r="Y428">
        <v>398</v>
      </c>
      <c r="Z428">
        <v>32787</v>
      </c>
    </row>
    <row r="429" spans="1:26" x14ac:dyDescent="0.25">
      <c r="A429">
        <v>2020</v>
      </c>
      <c r="B429" t="s">
        <v>61</v>
      </c>
      <c r="C429">
        <v>2622</v>
      </c>
      <c r="D429">
        <v>154001</v>
      </c>
      <c r="E429">
        <v>7421667</v>
      </c>
      <c r="F429">
        <v>7401315</v>
      </c>
      <c r="G429">
        <v>8975</v>
      </c>
      <c r="H429">
        <v>5.8419999999999996</v>
      </c>
      <c r="I429">
        <v>8253</v>
      </c>
      <c r="J429">
        <v>5.3719999999999999</v>
      </c>
      <c r="K429">
        <v>771764</v>
      </c>
      <c r="L429">
        <v>195196</v>
      </c>
      <c r="M429">
        <v>576568</v>
      </c>
      <c r="N429">
        <v>2.637</v>
      </c>
      <c r="O429">
        <v>10.427</v>
      </c>
      <c r="P429">
        <v>727894</v>
      </c>
      <c r="Q429">
        <v>169093</v>
      </c>
      <c r="R429">
        <v>558801</v>
      </c>
      <c r="S429">
        <v>2.2850000000000001</v>
      </c>
      <c r="T429">
        <v>9.8350000000000009</v>
      </c>
      <c r="U429">
        <v>43870</v>
      </c>
      <c r="V429">
        <v>0.59299999999999997</v>
      </c>
      <c r="W429">
        <v>19.669</v>
      </c>
      <c r="X429" t="s">
        <v>62</v>
      </c>
      <c r="Y429" t="s">
        <v>62</v>
      </c>
      <c r="Z429" t="s">
        <v>62</v>
      </c>
    </row>
    <row r="430" spans="1:26" x14ac:dyDescent="0.25">
      <c r="A430">
        <v>2020</v>
      </c>
      <c r="B430" t="s">
        <v>63</v>
      </c>
      <c r="C430">
        <v>1465</v>
      </c>
      <c r="D430">
        <v>139421</v>
      </c>
      <c r="E430">
        <v>7710927</v>
      </c>
      <c r="F430">
        <v>7687191</v>
      </c>
      <c r="G430">
        <v>11394</v>
      </c>
      <c r="H430">
        <v>8.2759999999999998</v>
      </c>
      <c r="I430">
        <v>7906</v>
      </c>
      <c r="J430">
        <v>5.742</v>
      </c>
      <c r="K430">
        <v>804809</v>
      </c>
      <c r="L430">
        <v>265267</v>
      </c>
      <c r="M430">
        <v>539542</v>
      </c>
      <c r="N430">
        <v>3.4510000000000001</v>
      </c>
      <c r="O430">
        <v>10.468999999999999</v>
      </c>
      <c r="P430">
        <v>760427</v>
      </c>
      <c r="Q430">
        <v>188215</v>
      </c>
      <c r="R430">
        <v>572212</v>
      </c>
      <c r="S430">
        <v>2.448</v>
      </c>
      <c r="T430">
        <v>9.8919999999999995</v>
      </c>
      <c r="U430">
        <v>44382</v>
      </c>
      <c r="V430">
        <v>0.57699999999999996</v>
      </c>
      <c r="W430">
        <v>19.783999999999999</v>
      </c>
      <c r="X430" t="s">
        <v>62</v>
      </c>
      <c r="Y430" t="s">
        <v>62</v>
      </c>
      <c r="Z430" t="s">
        <v>62</v>
      </c>
    </row>
    <row r="431" spans="1:26" x14ac:dyDescent="0.25">
      <c r="A431">
        <v>2020</v>
      </c>
      <c r="B431" t="s">
        <v>64</v>
      </c>
      <c r="C431">
        <v>1243</v>
      </c>
      <c r="D431">
        <v>750947</v>
      </c>
      <c r="E431">
        <v>38949260</v>
      </c>
      <c r="F431">
        <v>38854574</v>
      </c>
      <c r="G431">
        <v>30809</v>
      </c>
      <c r="H431">
        <v>4.0759999999999996</v>
      </c>
      <c r="I431">
        <v>40498</v>
      </c>
      <c r="J431">
        <v>5.3579999999999997</v>
      </c>
      <c r="K431">
        <v>3698200</v>
      </c>
      <c r="L431">
        <v>981957</v>
      </c>
      <c r="M431">
        <v>2716243</v>
      </c>
      <c r="N431">
        <v>2.5270000000000001</v>
      </c>
      <c r="O431">
        <v>9.5180000000000007</v>
      </c>
      <c r="P431">
        <v>3508937</v>
      </c>
      <c r="Q431">
        <v>957034</v>
      </c>
      <c r="R431">
        <v>2551903</v>
      </c>
      <c r="S431">
        <v>2.4630000000000001</v>
      </c>
      <c r="T431">
        <v>9.0310000000000006</v>
      </c>
      <c r="U431">
        <v>189263</v>
      </c>
      <c r="V431">
        <v>0.48699999999999999</v>
      </c>
      <c r="W431">
        <v>18.062000000000001</v>
      </c>
      <c r="X431">
        <v>0</v>
      </c>
      <c r="Y431">
        <v>0</v>
      </c>
      <c r="Z431">
        <v>0</v>
      </c>
    </row>
    <row r="432" spans="1:26" x14ac:dyDescent="0.25">
      <c r="A432">
        <v>2021</v>
      </c>
      <c r="B432" t="s">
        <v>54</v>
      </c>
      <c r="C432">
        <v>3214366</v>
      </c>
      <c r="D432">
        <v>3221301</v>
      </c>
      <c r="E432">
        <v>7017079</v>
      </c>
      <c r="F432">
        <v>6954732</v>
      </c>
      <c r="G432">
        <v>601901</v>
      </c>
      <c r="H432">
        <v>18.873999999999999</v>
      </c>
      <c r="I432">
        <v>537514</v>
      </c>
      <c r="J432">
        <v>16.855</v>
      </c>
      <c r="K432">
        <v>2047315</v>
      </c>
      <c r="L432">
        <v>1347188</v>
      </c>
      <c r="M432">
        <v>700127</v>
      </c>
      <c r="N432">
        <v>19.370999999999999</v>
      </c>
      <c r="O432">
        <v>29.437999999999999</v>
      </c>
      <c r="P432">
        <v>1923954</v>
      </c>
      <c r="Q432">
        <v>1202052</v>
      </c>
      <c r="R432">
        <v>721902</v>
      </c>
      <c r="S432">
        <v>17.283999999999999</v>
      </c>
      <c r="T432">
        <v>27.664000000000001</v>
      </c>
      <c r="U432">
        <v>123361</v>
      </c>
      <c r="V432">
        <v>1.774</v>
      </c>
      <c r="W432">
        <v>55.328000000000003</v>
      </c>
      <c r="X432">
        <v>376392</v>
      </c>
      <c r="Y432">
        <v>378048</v>
      </c>
      <c r="Z432">
        <v>861841</v>
      </c>
    </row>
    <row r="433" spans="1:26" x14ac:dyDescent="0.25">
      <c r="A433">
        <v>2021</v>
      </c>
      <c r="B433" t="s">
        <v>55</v>
      </c>
      <c r="C433">
        <v>953382</v>
      </c>
      <c r="D433">
        <v>970124</v>
      </c>
      <c r="E433">
        <v>6626531</v>
      </c>
      <c r="F433">
        <v>6696297</v>
      </c>
      <c r="G433">
        <v>35538</v>
      </c>
      <c r="H433">
        <v>3.6640000000000001</v>
      </c>
      <c r="I433">
        <v>35343</v>
      </c>
      <c r="J433">
        <v>3.6440000000000001</v>
      </c>
      <c r="K433">
        <v>1159200</v>
      </c>
      <c r="L433">
        <v>434309</v>
      </c>
      <c r="M433">
        <v>724891</v>
      </c>
      <c r="N433">
        <v>6.4859999999999998</v>
      </c>
      <c r="O433">
        <v>17.311</v>
      </c>
      <c r="P433">
        <v>1297225</v>
      </c>
      <c r="Q433">
        <v>441645</v>
      </c>
      <c r="R433">
        <v>855580</v>
      </c>
      <c r="S433">
        <v>6.5949999999999998</v>
      </c>
      <c r="T433">
        <v>19.372</v>
      </c>
      <c r="U433">
        <v>-138025</v>
      </c>
      <c r="V433">
        <v>-2.0609999999999999</v>
      </c>
      <c r="W433">
        <v>34.622</v>
      </c>
      <c r="X433">
        <v>25643</v>
      </c>
      <c r="Y433">
        <v>27043</v>
      </c>
      <c r="Z433">
        <v>341703</v>
      </c>
    </row>
    <row r="434" spans="1:26" x14ac:dyDescent="0.25">
      <c r="A434">
        <v>2021</v>
      </c>
      <c r="B434" t="s">
        <v>56</v>
      </c>
      <c r="C434">
        <v>604936</v>
      </c>
      <c r="D434">
        <v>644023</v>
      </c>
      <c r="E434">
        <v>8279659</v>
      </c>
      <c r="F434">
        <v>8477629</v>
      </c>
      <c r="G434">
        <v>19138</v>
      </c>
      <c r="H434">
        <v>2.9740000000000002</v>
      </c>
      <c r="I434">
        <v>18264</v>
      </c>
      <c r="J434">
        <v>2.8380000000000001</v>
      </c>
      <c r="K434">
        <v>1153412</v>
      </c>
      <c r="L434">
        <v>392687</v>
      </c>
      <c r="M434">
        <v>760725</v>
      </c>
      <c r="N434">
        <v>4.6319999999999997</v>
      </c>
      <c r="O434">
        <v>13.605</v>
      </c>
      <c r="P434">
        <v>1548273</v>
      </c>
      <c r="Q434">
        <v>418633</v>
      </c>
      <c r="R434">
        <v>1129640</v>
      </c>
      <c r="S434">
        <v>4.9379999999999997</v>
      </c>
      <c r="T434">
        <v>18.263000000000002</v>
      </c>
      <c r="U434">
        <v>-394861</v>
      </c>
      <c r="V434">
        <v>-4.6580000000000004</v>
      </c>
      <c r="W434">
        <v>27.210999999999999</v>
      </c>
      <c r="X434">
        <v>12001</v>
      </c>
      <c r="Y434">
        <v>13458</v>
      </c>
      <c r="Z434">
        <v>322615</v>
      </c>
    </row>
    <row r="435" spans="1:26" x14ac:dyDescent="0.25">
      <c r="A435">
        <v>2021</v>
      </c>
      <c r="B435" t="s">
        <v>57</v>
      </c>
      <c r="C435">
        <v>517430</v>
      </c>
      <c r="D435">
        <v>704133</v>
      </c>
      <c r="E435">
        <v>19971754</v>
      </c>
      <c r="F435">
        <v>20611374</v>
      </c>
      <c r="G435">
        <v>24614</v>
      </c>
      <c r="H435">
        <v>3.512</v>
      </c>
      <c r="I435">
        <v>18130</v>
      </c>
      <c r="J435">
        <v>2.5870000000000002</v>
      </c>
      <c r="K435">
        <v>2218997</v>
      </c>
      <c r="L435">
        <v>755660</v>
      </c>
      <c r="M435">
        <v>1463337</v>
      </c>
      <c r="N435">
        <v>3.6659999999999999</v>
      </c>
      <c r="O435">
        <v>10.766</v>
      </c>
      <c r="P435">
        <v>3500661</v>
      </c>
      <c r="Q435">
        <v>667198</v>
      </c>
      <c r="R435">
        <v>2833463</v>
      </c>
      <c r="S435">
        <v>3.2370000000000001</v>
      </c>
      <c r="T435">
        <v>16.984000000000002</v>
      </c>
      <c r="U435">
        <v>-1281664</v>
      </c>
      <c r="V435">
        <v>-6.218</v>
      </c>
      <c r="W435">
        <v>21.532</v>
      </c>
      <c r="X435">
        <v>6810</v>
      </c>
      <c r="Y435">
        <v>10106</v>
      </c>
      <c r="Z435">
        <v>498352</v>
      </c>
    </row>
    <row r="436" spans="1:26" x14ac:dyDescent="0.25">
      <c r="A436">
        <v>2021</v>
      </c>
      <c r="B436" t="s">
        <v>58</v>
      </c>
      <c r="C436">
        <v>90499</v>
      </c>
      <c r="D436">
        <v>374838</v>
      </c>
      <c r="E436">
        <v>17171522</v>
      </c>
      <c r="F436">
        <v>17671525</v>
      </c>
      <c r="G436">
        <v>20951</v>
      </c>
      <c r="H436">
        <v>5.6280000000000001</v>
      </c>
      <c r="I436">
        <v>15783</v>
      </c>
      <c r="J436">
        <v>4.24</v>
      </c>
      <c r="K436">
        <v>1735357</v>
      </c>
      <c r="L436">
        <v>531566</v>
      </c>
      <c r="M436">
        <v>1203791</v>
      </c>
      <c r="N436">
        <v>3.008</v>
      </c>
      <c r="O436">
        <v>9.82</v>
      </c>
      <c r="P436">
        <v>2737437</v>
      </c>
      <c r="Q436">
        <v>403845</v>
      </c>
      <c r="R436">
        <v>2333592</v>
      </c>
      <c r="S436">
        <v>2.2850000000000001</v>
      </c>
      <c r="T436">
        <v>15.491</v>
      </c>
      <c r="U436">
        <v>-1002080</v>
      </c>
      <c r="V436">
        <v>-5.6710000000000003</v>
      </c>
      <c r="W436">
        <v>19.64</v>
      </c>
      <c r="X436">
        <v>563</v>
      </c>
      <c r="Y436">
        <v>3353</v>
      </c>
      <c r="Z436">
        <v>209688</v>
      </c>
    </row>
    <row r="437" spans="1:26" x14ac:dyDescent="0.25">
      <c r="A437">
        <v>2021</v>
      </c>
      <c r="B437" t="s">
        <v>59</v>
      </c>
      <c r="C437">
        <v>11043</v>
      </c>
      <c r="D437">
        <v>140566</v>
      </c>
      <c r="E437">
        <v>6726466</v>
      </c>
      <c r="F437">
        <v>6925179</v>
      </c>
      <c r="G437">
        <v>8300</v>
      </c>
      <c r="H437">
        <v>5.9039999999999999</v>
      </c>
      <c r="I437">
        <v>8338</v>
      </c>
      <c r="J437">
        <v>5.931</v>
      </c>
      <c r="K437">
        <v>751211</v>
      </c>
      <c r="L437">
        <v>205976</v>
      </c>
      <c r="M437">
        <v>545235</v>
      </c>
      <c r="N437">
        <v>2.9740000000000002</v>
      </c>
      <c r="O437">
        <v>10.848000000000001</v>
      </c>
      <c r="P437">
        <v>1147630</v>
      </c>
      <c r="Q437">
        <v>172062</v>
      </c>
      <c r="R437">
        <v>975568</v>
      </c>
      <c r="S437">
        <v>2.4849999999999999</v>
      </c>
      <c r="T437">
        <v>16.571999999999999</v>
      </c>
      <c r="U437">
        <v>-396419</v>
      </c>
      <c r="V437">
        <v>-5.7240000000000002</v>
      </c>
      <c r="W437">
        <v>21.695</v>
      </c>
      <c r="X437">
        <v>26</v>
      </c>
      <c r="Y437">
        <v>1263</v>
      </c>
      <c r="Z437">
        <v>36345</v>
      </c>
    </row>
    <row r="438" spans="1:26" x14ac:dyDescent="0.25">
      <c r="A438">
        <v>2021</v>
      </c>
      <c r="B438" t="s">
        <v>60</v>
      </c>
      <c r="C438">
        <v>6743</v>
      </c>
      <c r="D438">
        <v>174443</v>
      </c>
      <c r="E438">
        <v>8933295</v>
      </c>
      <c r="F438">
        <v>9182295</v>
      </c>
      <c r="G438">
        <v>13103</v>
      </c>
      <c r="H438">
        <v>7.4740000000000002</v>
      </c>
      <c r="I438">
        <v>14839</v>
      </c>
      <c r="J438">
        <v>8.4640000000000004</v>
      </c>
      <c r="K438">
        <v>961266</v>
      </c>
      <c r="L438">
        <v>267202</v>
      </c>
      <c r="M438">
        <v>694064</v>
      </c>
      <c r="N438">
        <v>2.91</v>
      </c>
      <c r="O438">
        <v>10.468999999999999</v>
      </c>
      <c r="P438">
        <v>1460170</v>
      </c>
      <c r="Q438">
        <v>244399</v>
      </c>
      <c r="R438">
        <v>1215771</v>
      </c>
      <c r="S438">
        <v>2.6619999999999999</v>
      </c>
      <c r="T438">
        <v>15.901999999999999</v>
      </c>
      <c r="U438">
        <v>-498904</v>
      </c>
      <c r="V438">
        <v>-5.4329999999999998</v>
      </c>
      <c r="W438">
        <v>20.937000000000001</v>
      </c>
      <c r="X438">
        <v>15</v>
      </c>
      <c r="Y438">
        <v>1886</v>
      </c>
      <c r="Z438">
        <v>45339</v>
      </c>
    </row>
    <row r="439" spans="1:26" x14ac:dyDescent="0.25">
      <c r="A439">
        <v>2021</v>
      </c>
      <c r="B439" t="s">
        <v>61</v>
      </c>
      <c r="C439">
        <v>2625</v>
      </c>
      <c r="D439">
        <v>144317</v>
      </c>
      <c r="E439">
        <v>7006722</v>
      </c>
      <c r="F439">
        <v>7193659</v>
      </c>
      <c r="G439">
        <v>11323</v>
      </c>
      <c r="H439">
        <v>7.8769999999999998</v>
      </c>
      <c r="I439">
        <v>10175</v>
      </c>
      <c r="J439">
        <v>7.0789999999999997</v>
      </c>
      <c r="K439">
        <v>750091</v>
      </c>
      <c r="L439">
        <v>251903</v>
      </c>
      <c r="M439">
        <v>498188</v>
      </c>
      <c r="N439">
        <v>3.5019999999999998</v>
      </c>
      <c r="O439">
        <v>10.427</v>
      </c>
      <c r="P439">
        <v>1126869</v>
      </c>
      <c r="Q439">
        <v>209658</v>
      </c>
      <c r="R439">
        <v>917211</v>
      </c>
      <c r="S439">
        <v>2.9140000000000001</v>
      </c>
      <c r="T439">
        <v>15.664999999999999</v>
      </c>
      <c r="U439">
        <v>-376778</v>
      </c>
      <c r="V439">
        <v>-5.2380000000000004</v>
      </c>
      <c r="W439">
        <v>20.853999999999999</v>
      </c>
      <c r="X439" t="s">
        <v>62</v>
      </c>
      <c r="Y439" t="s">
        <v>62</v>
      </c>
      <c r="Z439" t="s">
        <v>62</v>
      </c>
    </row>
    <row r="440" spans="1:26" x14ac:dyDescent="0.25">
      <c r="A440">
        <v>2021</v>
      </c>
      <c r="B440" t="s">
        <v>63</v>
      </c>
      <c r="C440">
        <v>1454</v>
      </c>
      <c r="D440">
        <v>142193</v>
      </c>
      <c r="E440">
        <v>7374545</v>
      </c>
      <c r="F440">
        <v>7524409</v>
      </c>
      <c r="G440">
        <v>8677</v>
      </c>
      <c r="H440">
        <v>6.0579999999999998</v>
      </c>
      <c r="I440">
        <v>10766</v>
      </c>
      <c r="J440">
        <v>7.516</v>
      </c>
      <c r="K440">
        <v>776234</v>
      </c>
      <c r="L440">
        <v>223168</v>
      </c>
      <c r="M440">
        <v>553066</v>
      </c>
      <c r="N440">
        <v>2.9660000000000002</v>
      </c>
      <c r="O440">
        <v>10.316000000000001</v>
      </c>
      <c r="P440">
        <v>1076015</v>
      </c>
      <c r="Q440">
        <v>249247</v>
      </c>
      <c r="R440">
        <v>826768</v>
      </c>
      <c r="S440">
        <v>3.3130000000000002</v>
      </c>
      <c r="T440">
        <v>14.3</v>
      </c>
      <c r="U440">
        <v>-299781</v>
      </c>
      <c r="V440">
        <v>-3.984</v>
      </c>
      <c r="W440">
        <v>20.632000000000001</v>
      </c>
      <c r="X440" t="s">
        <v>62</v>
      </c>
      <c r="Y440" t="s">
        <v>62</v>
      </c>
      <c r="Z440" t="s">
        <v>62</v>
      </c>
    </row>
    <row r="441" spans="1:26" x14ac:dyDescent="0.25">
      <c r="A441">
        <v>2021</v>
      </c>
      <c r="B441" t="s">
        <v>64</v>
      </c>
      <c r="C441">
        <v>1271</v>
      </c>
      <c r="D441">
        <v>737583</v>
      </c>
      <c r="E441">
        <v>38114563</v>
      </c>
      <c r="F441">
        <v>38756774</v>
      </c>
      <c r="G441">
        <v>40248</v>
      </c>
      <c r="H441">
        <v>5.3789999999999996</v>
      </c>
      <c r="I441">
        <v>61487</v>
      </c>
      <c r="J441">
        <v>8.218</v>
      </c>
      <c r="K441">
        <v>3522929</v>
      </c>
      <c r="L441">
        <v>853133</v>
      </c>
      <c r="M441">
        <v>2669796</v>
      </c>
      <c r="N441">
        <v>2.2010000000000001</v>
      </c>
      <c r="O441">
        <v>9.09</v>
      </c>
      <c r="P441">
        <v>4777748</v>
      </c>
      <c r="Q441">
        <v>1035381</v>
      </c>
      <c r="R441">
        <v>3742367</v>
      </c>
      <c r="S441">
        <v>2.6709999999999998</v>
      </c>
      <c r="T441">
        <v>12.327999999999999</v>
      </c>
      <c r="U441">
        <v>-1254819</v>
      </c>
      <c r="V441">
        <v>-3.238</v>
      </c>
      <c r="W441">
        <v>18.18</v>
      </c>
      <c r="X441">
        <v>0</v>
      </c>
      <c r="Y441">
        <v>0</v>
      </c>
      <c r="Z441">
        <v>0</v>
      </c>
    </row>
    <row r="442" spans="1:26" x14ac:dyDescent="0.25">
      <c r="A442">
        <v>2022</v>
      </c>
      <c r="B442" t="s">
        <v>54</v>
      </c>
      <c r="C442">
        <v>3339926</v>
      </c>
      <c r="D442">
        <v>3345412</v>
      </c>
      <c r="E442">
        <v>7346986</v>
      </c>
      <c r="F442">
        <v>7108325</v>
      </c>
      <c r="G442">
        <v>655299</v>
      </c>
      <c r="H442">
        <v>20.052</v>
      </c>
      <c r="I442">
        <v>500488</v>
      </c>
      <c r="J442">
        <v>15.315</v>
      </c>
      <c r="K442">
        <v>2251983</v>
      </c>
      <c r="L442">
        <v>1465891</v>
      </c>
      <c r="M442">
        <v>786092</v>
      </c>
      <c r="N442">
        <v>20.622</v>
      </c>
      <c r="O442">
        <v>31.681000000000001</v>
      </c>
      <c r="P442">
        <v>1771654</v>
      </c>
      <c r="Q442">
        <v>1135153</v>
      </c>
      <c r="R442">
        <v>636501</v>
      </c>
      <c r="S442">
        <v>15.968999999999999</v>
      </c>
      <c r="T442">
        <v>24.923999999999999</v>
      </c>
      <c r="U442">
        <v>480329</v>
      </c>
      <c r="V442">
        <v>6.7569999999999997</v>
      </c>
      <c r="W442">
        <v>49.847000000000001</v>
      </c>
      <c r="X442">
        <v>401726</v>
      </c>
      <c r="Y442">
        <v>403710</v>
      </c>
      <c r="Z442">
        <v>931810</v>
      </c>
    </row>
    <row r="443" spans="1:26" x14ac:dyDescent="0.25">
      <c r="A443">
        <v>2022</v>
      </c>
      <c r="B443" t="s">
        <v>55</v>
      </c>
      <c r="C443">
        <v>967881</v>
      </c>
      <c r="D443">
        <v>982623</v>
      </c>
      <c r="E443">
        <v>6988897</v>
      </c>
      <c r="F443">
        <v>6785969</v>
      </c>
      <c r="G443">
        <v>40573</v>
      </c>
      <c r="H443">
        <v>4.1379999999999999</v>
      </c>
      <c r="I443">
        <v>36392</v>
      </c>
      <c r="J443">
        <v>3.7109999999999999</v>
      </c>
      <c r="K443">
        <v>1441970</v>
      </c>
      <c r="L443">
        <v>500022</v>
      </c>
      <c r="M443">
        <v>941948</v>
      </c>
      <c r="N443">
        <v>7.3680000000000003</v>
      </c>
      <c r="O443">
        <v>21.248999999999999</v>
      </c>
      <c r="P443">
        <v>1038385</v>
      </c>
      <c r="Q443">
        <v>429691</v>
      </c>
      <c r="R443">
        <v>608694</v>
      </c>
      <c r="S443">
        <v>6.3319999999999999</v>
      </c>
      <c r="T443">
        <v>15.302</v>
      </c>
      <c r="U443">
        <v>403585</v>
      </c>
      <c r="V443">
        <v>5.9470000000000001</v>
      </c>
      <c r="W443">
        <v>30.603999999999999</v>
      </c>
      <c r="X443">
        <v>27614</v>
      </c>
      <c r="Y443">
        <v>29207</v>
      </c>
      <c r="Z443">
        <v>367648</v>
      </c>
    </row>
    <row r="444" spans="1:26" x14ac:dyDescent="0.25">
      <c r="A444">
        <v>2022</v>
      </c>
      <c r="B444" t="s">
        <v>56</v>
      </c>
      <c r="C444">
        <v>615012</v>
      </c>
      <c r="D444">
        <v>652382</v>
      </c>
      <c r="E444">
        <v>8917492</v>
      </c>
      <c r="F444">
        <v>8595832</v>
      </c>
      <c r="G444">
        <v>22772</v>
      </c>
      <c r="H444">
        <v>3.4950000000000001</v>
      </c>
      <c r="I444">
        <v>21291</v>
      </c>
      <c r="J444">
        <v>3.2669999999999999</v>
      </c>
      <c r="K444">
        <v>1691555</v>
      </c>
      <c r="L444">
        <v>479195</v>
      </c>
      <c r="M444">
        <v>1212360</v>
      </c>
      <c r="N444">
        <v>5.5750000000000002</v>
      </c>
      <c r="O444">
        <v>19.678999999999998</v>
      </c>
      <c r="P444">
        <v>1048073</v>
      </c>
      <c r="Q444">
        <v>409247</v>
      </c>
      <c r="R444">
        <v>638826</v>
      </c>
      <c r="S444">
        <v>4.7610000000000001</v>
      </c>
      <c r="T444">
        <v>12.193</v>
      </c>
      <c r="U444">
        <v>643482</v>
      </c>
      <c r="V444">
        <v>7.4859999999999998</v>
      </c>
      <c r="W444">
        <v>24.385999999999999</v>
      </c>
      <c r="X444">
        <v>12775</v>
      </c>
      <c r="Y444">
        <v>14891</v>
      </c>
      <c r="Z444">
        <v>344307</v>
      </c>
    </row>
    <row r="445" spans="1:26" x14ac:dyDescent="0.25">
      <c r="A445">
        <v>2022</v>
      </c>
      <c r="B445" t="s">
        <v>57</v>
      </c>
      <c r="C445">
        <v>519787</v>
      </c>
      <c r="D445">
        <v>707088</v>
      </c>
      <c r="E445">
        <v>21536084</v>
      </c>
      <c r="F445">
        <v>20676840</v>
      </c>
      <c r="G445">
        <v>27367</v>
      </c>
      <c r="H445">
        <v>3.8740000000000001</v>
      </c>
      <c r="I445">
        <v>25970</v>
      </c>
      <c r="J445">
        <v>3.6760000000000002</v>
      </c>
      <c r="K445">
        <v>3841293</v>
      </c>
      <c r="L445">
        <v>881004</v>
      </c>
      <c r="M445">
        <v>2960289</v>
      </c>
      <c r="N445">
        <v>4.2610000000000001</v>
      </c>
      <c r="O445">
        <v>18.577999999999999</v>
      </c>
      <c r="P445">
        <v>2120073</v>
      </c>
      <c r="Q445">
        <v>733289</v>
      </c>
      <c r="R445">
        <v>1386784</v>
      </c>
      <c r="S445">
        <v>3.5459999999999998</v>
      </c>
      <c r="T445">
        <v>10.253</v>
      </c>
      <c r="U445">
        <v>1721220</v>
      </c>
      <c r="V445">
        <v>8.3239999999999998</v>
      </c>
      <c r="W445">
        <v>20.507000000000001</v>
      </c>
      <c r="X445">
        <v>7282</v>
      </c>
      <c r="Y445">
        <v>11215</v>
      </c>
      <c r="Z445">
        <v>536161</v>
      </c>
    </row>
    <row r="446" spans="1:26" x14ac:dyDescent="0.25">
      <c r="A446">
        <v>2022</v>
      </c>
      <c r="B446" t="s">
        <v>58</v>
      </c>
      <c r="C446">
        <v>89373</v>
      </c>
      <c r="D446">
        <v>373280</v>
      </c>
      <c r="E446">
        <v>18034357</v>
      </c>
      <c r="F446">
        <v>17467658</v>
      </c>
      <c r="G446">
        <v>20447</v>
      </c>
      <c r="H446">
        <v>5.4989999999999997</v>
      </c>
      <c r="I446">
        <v>17597</v>
      </c>
      <c r="J446">
        <v>4.7320000000000002</v>
      </c>
      <c r="K446">
        <v>2932173</v>
      </c>
      <c r="L446">
        <v>555960</v>
      </c>
      <c r="M446">
        <v>2376213</v>
      </c>
      <c r="N446">
        <v>3.1829999999999998</v>
      </c>
      <c r="O446">
        <v>16.786000000000001</v>
      </c>
      <c r="P446">
        <v>1797565</v>
      </c>
      <c r="Q446">
        <v>466281</v>
      </c>
      <c r="R446">
        <v>1331284</v>
      </c>
      <c r="S446">
        <v>2.669</v>
      </c>
      <c r="T446">
        <v>10.291</v>
      </c>
      <c r="U446">
        <v>1134608</v>
      </c>
      <c r="V446">
        <v>6.4950000000000001</v>
      </c>
      <c r="W446">
        <v>20.582000000000001</v>
      </c>
      <c r="X446">
        <v>599</v>
      </c>
      <c r="Y446">
        <v>2721</v>
      </c>
      <c r="Z446">
        <v>208566</v>
      </c>
    </row>
    <row r="447" spans="1:26" x14ac:dyDescent="0.25">
      <c r="A447">
        <v>2022</v>
      </c>
      <c r="B447" t="s">
        <v>59</v>
      </c>
      <c r="C447">
        <v>11080</v>
      </c>
      <c r="D447">
        <v>146595</v>
      </c>
      <c r="E447">
        <v>7148562</v>
      </c>
      <c r="F447">
        <v>6929042</v>
      </c>
      <c r="G447">
        <v>10052</v>
      </c>
      <c r="H447">
        <v>6.9139999999999997</v>
      </c>
      <c r="I447">
        <v>7647</v>
      </c>
      <c r="J447">
        <v>5.26</v>
      </c>
      <c r="K447">
        <v>1129876</v>
      </c>
      <c r="L447">
        <v>234768</v>
      </c>
      <c r="M447">
        <v>895108</v>
      </c>
      <c r="N447">
        <v>3.3879999999999999</v>
      </c>
      <c r="O447">
        <v>16.306000000000001</v>
      </c>
      <c r="P447">
        <v>690116</v>
      </c>
      <c r="Q447">
        <v>153712</v>
      </c>
      <c r="R447">
        <v>536404</v>
      </c>
      <c r="S447">
        <v>2.218</v>
      </c>
      <c r="T447">
        <v>9.9600000000000009</v>
      </c>
      <c r="U447">
        <v>439760</v>
      </c>
      <c r="V447">
        <v>6.3470000000000004</v>
      </c>
      <c r="W447">
        <v>19.920000000000002</v>
      </c>
      <c r="X447">
        <v>31</v>
      </c>
      <c r="Y447">
        <v>1151</v>
      </c>
      <c r="Z447">
        <v>40856</v>
      </c>
    </row>
    <row r="448" spans="1:26" x14ac:dyDescent="0.25">
      <c r="A448">
        <v>2022</v>
      </c>
      <c r="B448" t="s">
        <v>60</v>
      </c>
      <c r="C448">
        <v>6788</v>
      </c>
      <c r="D448">
        <v>179635</v>
      </c>
      <c r="E448">
        <v>9523487</v>
      </c>
      <c r="F448">
        <v>9260591</v>
      </c>
      <c r="G448">
        <v>12060</v>
      </c>
      <c r="H448">
        <v>6.7510000000000003</v>
      </c>
      <c r="I448">
        <v>10069</v>
      </c>
      <c r="J448">
        <v>5.6360000000000001</v>
      </c>
      <c r="K448">
        <v>1430212</v>
      </c>
      <c r="L448">
        <v>289159</v>
      </c>
      <c r="M448">
        <v>1141053</v>
      </c>
      <c r="N448">
        <v>3.1219999999999999</v>
      </c>
      <c r="O448">
        <v>15.444000000000001</v>
      </c>
      <c r="P448">
        <v>908434</v>
      </c>
      <c r="Q448">
        <v>223081</v>
      </c>
      <c r="R448">
        <v>685353</v>
      </c>
      <c r="S448">
        <v>2.4089999999999998</v>
      </c>
      <c r="T448">
        <v>9.81</v>
      </c>
      <c r="U448">
        <v>521778</v>
      </c>
      <c r="V448">
        <v>5.6340000000000003</v>
      </c>
      <c r="W448">
        <v>19.619</v>
      </c>
      <c r="X448">
        <v>10</v>
      </c>
      <c r="Y448">
        <v>229</v>
      </c>
      <c r="Z448">
        <v>30289</v>
      </c>
    </row>
    <row r="449" spans="1:26" x14ac:dyDescent="0.25">
      <c r="A449">
        <v>2022</v>
      </c>
      <c r="B449" t="s">
        <v>61</v>
      </c>
      <c r="C449">
        <v>2662</v>
      </c>
      <c r="D449">
        <v>142905</v>
      </c>
      <c r="E449">
        <v>7277975</v>
      </c>
      <c r="F449">
        <v>7097586</v>
      </c>
      <c r="G449">
        <v>10067</v>
      </c>
      <c r="H449">
        <v>7.1139999999999999</v>
      </c>
      <c r="I449">
        <v>7260</v>
      </c>
      <c r="J449">
        <v>5.1310000000000002</v>
      </c>
      <c r="K449">
        <v>1039564</v>
      </c>
      <c r="L449">
        <v>198976</v>
      </c>
      <c r="M449">
        <v>840588</v>
      </c>
      <c r="N449">
        <v>2.8029999999999999</v>
      </c>
      <c r="O449">
        <v>14.647</v>
      </c>
      <c r="P449">
        <v>677394</v>
      </c>
      <c r="Q449">
        <v>182336</v>
      </c>
      <c r="R449">
        <v>495058</v>
      </c>
      <c r="S449">
        <v>2.569</v>
      </c>
      <c r="T449">
        <v>9.5440000000000005</v>
      </c>
      <c r="U449">
        <v>362170</v>
      </c>
      <c r="V449">
        <v>5.1029999999999998</v>
      </c>
      <c r="W449">
        <v>19.088000000000001</v>
      </c>
      <c r="X449" t="s">
        <v>62</v>
      </c>
      <c r="Y449" t="s">
        <v>62</v>
      </c>
      <c r="Z449" t="s">
        <v>62</v>
      </c>
    </row>
    <row r="450" spans="1:26" x14ac:dyDescent="0.25">
      <c r="A450">
        <v>2022</v>
      </c>
      <c r="B450" t="s">
        <v>63</v>
      </c>
      <c r="C450">
        <v>1496</v>
      </c>
      <c r="D450">
        <v>147863</v>
      </c>
      <c r="E450">
        <v>7779452</v>
      </c>
      <c r="F450">
        <v>7575021</v>
      </c>
      <c r="G450">
        <v>12838</v>
      </c>
      <c r="H450">
        <v>8.8379999999999992</v>
      </c>
      <c r="I450">
        <v>7623</v>
      </c>
      <c r="J450">
        <v>5.2480000000000002</v>
      </c>
      <c r="K450">
        <v>1109910</v>
      </c>
      <c r="L450">
        <v>279643</v>
      </c>
      <c r="M450">
        <v>830267</v>
      </c>
      <c r="N450">
        <v>3.6920000000000002</v>
      </c>
      <c r="O450">
        <v>14.651999999999999</v>
      </c>
      <c r="P450">
        <v>702608</v>
      </c>
      <c r="Q450">
        <v>165056</v>
      </c>
      <c r="R450">
        <v>537552</v>
      </c>
      <c r="S450">
        <v>2.1789999999999998</v>
      </c>
      <c r="T450">
        <v>9.2750000000000004</v>
      </c>
      <c r="U450">
        <v>407302</v>
      </c>
      <c r="V450">
        <v>5.3769999999999998</v>
      </c>
      <c r="W450">
        <v>18.550999999999998</v>
      </c>
      <c r="X450">
        <v>0</v>
      </c>
      <c r="Y450">
        <v>0</v>
      </c>
      <c r="Z450">
        <v>0</v>
      </c>
    </row>
    <row r="451" spans="1:26" x14ac:dyDescent="0.25">
      <c r="A451">
        <v>2022</v>
      </c>
      <c r="B451" t="s">
        <v>64</v>
      </c>
      <c r="C451">
        <v>1218</v>
      </c>
      <c r="D451">
        <v>730866</v>
      </c>
      <c r="E451">
        <v>39589845</v>
      </c>
      <c r="F451">
        <v>39119297</v>
      </c>
      <c r="G451">
        <v>42555</v>
      </c>
      <c r="H451">
        <v>5.7430000000000003</v>
      </c>
      <c r="I451">
        <v>62888</v>
      </c>
      <c r="J451">
        <v>8.4870000000000001</v>
      </c>
      <c r="K451">
        <v>4793569</v>
      </c>
      <c r="L451">
        <v>1029815</v>
      </c>
      <c r="M451">
        <v>3763754</v>
      </c>
      <c r="N451">
        <v>2.6320000000000001</v>
      </c>
      <c r="O451">
        <v>12.254</v>
      </c>
      <c r="P451">
        <v>3817581</v>
      </c>
      <c r="Q451">
        <v>1221274</v>
      </c>
      <c r="R451">
        <v>2596307</v>
      </c>
      <c r="S451">
        <v>3.1219999999999999</v>
      </c>
      <c r="T451">
        <v>9.7590000000000003</v>
      </c>
      <c r="U451">
        <v>975988</v>
      </c>
      <c r="V451">
        <v>2.4950000000000001</v>
      </c>
      <c r="W451">
        <v>19.518000000000001</v>
      </c>
      <c r="X451">
        <v>0</v>
      </c>
      <c r="Y451">
        <v>0</v>
      </c>
      <c r="Z451">
        <v>0</v>
      </c>
    </row>
    <row r="452" spans="1:26" x14ac:dyDescent="0.25">
      <c r="A452">
        <v>2023</v>
      </c>
      <c r="B452" t="s">
        <v>54</v>
      </c>
      <c r="C452">
        <v>3348018</v>
      </c>
      <c r="D452">
        <v>3352910</v>
      </c>
      <c r="E452">
        <v>7210965</v>
      </c>
      <c r="F452">
        <v>7151312</v>
      </c>
      <c r="G452">
        <v>595074</v>
      </c>
      <c r="H452">
        <v>17.91</v>
      </c>
      <c r="I452">
        <v>534526</v>
      </c>
      <c r="J452">
        <v>16.087</v>
      </c>
      <c r="K452">
        <v>1997864</v>
      </c>
      <c r="L452">
        <v>1325120</v>
      </c>
      <c r="M452">
        <v>672744</v>
      </c>
      <c r="N452">
        <v>18.53</v>
      </c>
      <c r="O452">
        <v>27.937000000000001</v>
      </c>
      <c r="P452">
        <v>1877667</v>
      </c>
      <c r="Q452">
        <v>1195441</v>
      </c>
      <c r="R452">
        <v>682226</v>
      </c>
      <c r="S452">
        <v>16.716000000000001</v>
      </c>
      <c r="T452">
        <v>26.256</v>
      </c>
      <c r="U452">
        <v>120197</v>
      </c>
      <c r="V452">
        <v>1.681</v>
      </c>
      <c r="W452">
        <v>52.512999999999998</v>
      </c>
      <c r="X452">
        <v>469672</v>
      </c>
      <c r="Y452">
        <v>471261</v>
      </c>
      <c r="Z452">
        <v>1068323</v>
      </c>
    </row>
    <row r="453" spans="1:26" x14ac:dyDescent="0.25">
      <c r="A453">
        <v>2023</v>
      </c>
      <c r="B453" t="s">
        <v>55</v>
      </c>
      <c r="C453">
        <v>970392</v>
      </c>
      <c r="D453">
        <v>983897</v>
      </c>
      <c r="E453">
        <v>6879260</v>
      </c>
      <c r="F453">
        <v>6823345</v>
      </c>
      <c r="G453">
        <v>36778</v>
      </c>
      <c r="H453">
        <v>3.7389999999999999</v>
      </c>
      <c r="I453">
        <v>36363</v>
      </c>
      <c r="J453">
        <v>3.6970000000000001</v>
      </c>
      <c r="K453">
        <v>1248454</v>
      </c>
      <c r="L453">
        <v>464618</v>
      </c>
      <c r="M453">
        <v>783836</v>
      </c>
      <c r="N453">
        <v>6.8090000000000002</v>
      </c>
      <c r="O453">
        <v>18.297000000000001</v>
      </c>
      <c r="P453">
        <v>1134626</v>
      </c>
      <c r="Q453">
        <v>452481</v>
      </c>
      <c r="R453">
        <v>682145</v>
      </c>
      <c r="S453">
        <v>6.6310000000000002</v>
      </c>
      <c r="T453">
        <v>16.629000000000001</v>
      </c>
      <c r="U453">
        <v>113828</v>
      </c>
      <c r="V453">
        <v>1.6679999999999999</v>
      </c>
      <c r="W453">
        <v>33.256999999999998</v>
      </c>
      <c r="X453">
        <v>31380</v>
      </c>
      <c r="Y453">
        <v>32921</v>
      </c>
      <c r="Z453">
        <v>418932</v>
      </c>
    </row>
    <row r="454" spans="1:26" x14ac:dyDescent="0.25">
      <c r="A454">
        <v>2023</v>
      </c>
      <c r="B454" t="s">
        <v>56</v>
      </c>
      <c r="C454">
        <v>624548</v>
      </c>
      <c r="D454">
        <v>660252</v>
      </c>
      <c r="E454">
        <v>8857485</v>
      </c>
      <c r="F454">
        <v>8756972</v>
      </c>
      <c r="G454">
        <v>19877</v>
      </c>
      <c r="H454">
        <v>3.012</v>
      </c>
      <c r="I454">
        <v>19390</v>
      </c>
      <c r="J454">
        <v>2.9380000000000002</v>
      </c>
      <c r="K454">
        <v>1384948</v>
      </c>
      <c r="L454">
        <v>433118</v>
      </c>
      <c r="M454">
        <v>951830</v>
      </c>
      <c r="N454">
        <v>4.9459999999999997</v>
      </c>
      <c r="O454">
        <v>15.815</v>
      </c>
      <c r="P454">
        <v>1182403</v>
      </c>
      <c r="Q454">
        <v>423697</v>
      </c>
      <c r="R454">
        <v>758706</v>
      </c>
      <c r="S454">
        <v>4.8380000000000001</v>
      </c>
      <c r="T454">
        <v>13.502000000000001</v>
      </c>
      <c r="U454">
        <v>202545</v>
      </c>
      <c r="V454">
        <v>2.3130000000000002</v>
      </c>
      <c r="W454">
        <v>27.004999999999999</v>
      </c>
      <c r="X454">
        <v>14501</v>
      </c>
      <c r="Y454">
        <v>16320</v>
      </c>
      <c r="Z454">
        <v>389015</v>
      </c>
    </row>
    <row r="455" spans="1:26" x14ac:dyDescent="0.25">
      <c r="A455">
        <v>2023</v>
      </c>
      <c r="B455" t="s">
        <v>57</v>
      </c>
      <c r="C455">
        <v>544370</v>
      </c>
      <c r="D455">
        <v>734178</v>
      </c>
      <c r="E455">
        <v>22089278</v>
      </c>
      <c r="F455">
        <v>21739951</v>
      </c>
      <c r="G455">
        <v>28535</v>
      </c>
      <c r="H455">
        <v>3.91</v>
      </c>
      <c r="I455">
        <v>19767</v>
      </c>
      <c r="J455">
        <v>2.7090000000000001</v>
      </c>
      <c r="K455">
        <v>3093470</v>
      </c>
      <c r="L455">
        <v>858841</v>
      </c>
      <c r="M455">
        <v>2234629</v>
      </c>
      <c r="N455">
        <v>3.9510000000000001</v>
      </c>
      <c r="O455">
        <v>14.228999999999999</v>
      </c>
      <c r="P455">
        <v>2391567</v>
      </c>
      <c r="Q455">
        <v>674522</v>
      </c>
      <c r="R455">
        <v>1717045</v>
      </c>
      <c r="S455">
        <v>3.1030000000000002</v>
      </c>
      <c r="T455">
        <v>11.000999999999999</v>
      </c>
      <c r="U455">
        <v>701903</v>
      </c>
      <c r="V455">
        <v>3.2290000000000001</v>
      </c>
      <c r="W455">
        <v>22.001999999999999</v>
      </c>
      <c r="X455">
        <v>7803</v>
      </c>
      <c r="Y455">
        <v>10712</v>
      </c>
      <c r="Z455">
        <v>551740</v>
      </c>
    </row>
    <row r="456" spans="1:26" x14ac:dyDescent="0.25">
      <c r="A456">
        <v>2023</v>
      </c>
      <c r="B456" t="s">
        <v>58</v>
      </c>
      <c r="C456">
        <v>93344</v>
      </c>
      <c r="D456">
        <v>387099</v>
      </c>
      <c r="E456">
        <v>18503978</v>
      </c>
      <c r="F456">
        <v>18210677</v>
      </c>
      <c r="G456">
        <v>26212</v>
      </c>
      <c r="H456">
        <v>6.883</v>
      </c>
      <c r="I456">
        <v>13690</v>
      </c>
      <c r="J456">
        <v>3.5950000000000002</v>
      </c>
      <c r="K456">
        <v>2478748</v>
      </c>
      <c r="L456">
        <v>642127</v>
      </c>
      <c r="M456">
        <v>1836621</v>
      </c>
      <c r="N456">
        <v>3.5259999999999998</v>
      </c>
      <c r="O456">
        <v>13.612</v>
      </c>
      <c r="P456">
        <v>1889231</v>
      </c>
      <c r="Q456">
        <v>396021</v>
      </c>
      <c r="R456">
        <v>1493210</v>
      </c>
      <c r="S456">
        <v>2.1749999999999998</v>
      </c>
      <c r="T456">
        <v>10.374000000000001</v>
      </c>
      <c r="U456">
        <v>589517</v>
      </c>
      <c r="V456">
        <v>3.2370000000000001</v>
      </c>
      <c r="W456">
        <v>20.748999999999999</v>
      </c>
      <c r="X456">
        <v>570</v>
      </c>
      <c r="Y456">
        <v>2440</v>
      </c>
      <c r="Z456">
        <v>197894</v>
      </c>
    </row>
    <row r="457" spans="1:26" x14ac:dyDescent="0.25">
      <c r="A457">
        <v>2023</v>
      </c>
      <c r="B457" t="s">
        <v>59</v>
      </c>
      <c r="C457">
        <v>11485</v>
      </c>
      <c r="D457">
        <v>147601</v>
      </c>
      <c r="E457">
        <v>7302627</v>
      </c>
      <c r="F457">
        <v>7175537</v>
      </c>
      <c r="G457">
        <v>10274</v>
      </c>
      <c r="H457">
        <v>7.0780000000000003</v>
      </c>
      <c r="I457">
        <v>5394</v>
      </c>
      <c r="J457">
        <v>3.7160000000000002</v>
      </c>
      <c r="K457">
        <v>981868</v>
      </c>
      <c r="L457">
        <v>248583</v>
      </c>
      <c r="M457">
        <v>733285</v>
      </c>
      <c r="N457">
        <v>3.464</v>
      </c>
      <c r="O457">
        <v>13.683999999999999</v>
      </c>
      <c r="P457">
        <v>728955</v>
      </c>
      <c r="Q457">
        <v>135013</v>
      </c>
      <c r="R457">
        <v>593942</v>
      </c>
      <c r="S457">
        <v>1.8819999999999999</v>
      </c>
      <c r="T457">
        <v>10.159000000000001</v>
      </c>
      <c r="U457">
        <v>252913</v>
      </c>
      <c r="V457">
        <v>3.5249999999999999</v>
      </c>
      <c r="W457">
        <v>20.318000000000001</v>
      </c>
      <c r="X457">
        <v>24</v>
      </c>
      <c r="Y457">
        <v>158</v>
      </c>
      <c r="Z457">
        <v>32440</v>
      </c>
    </row>
    <row r="458" spans="1:26" x14ac:dyDescent="0.25">
      <c r="A458">
        <v>2023</v>
      </c>
      <c r="B458" t="s">
        <v>60</v>
      </c>
      <c r="C458">
        <v>7061</v>
      </c>
      <c r="D458">
        <v>188486</v>
      </c>
      <c r="E458">
        <v>9883450</v>
      </c>
      <c r="F458">
        <v>9709893</v>
      </c>
      <c r="G458">
        <v>14124</v>
      </c>
      <c r="H458">
        <v>7.58</v>
      </c>
      <c r="I458">
        <v>9830</v>
      </c>
      <c r="J458">
        <v>5.2750000000000004</v>
      </c>
      <c r="K458">
        <v>1269208</v>
      </c>
      <c r="L458">
        <v>304753</v>
      </c>
      <c r="M458">
        <v>964455</v>
      </c>
      <c r="N458">
        <v>3.1389999999999998</v>
      </c>
      <c r="O458">
        <v>13.071</v>
      </c>
      <c r="P458">
        <v>916775</v>
      </c>
      <c r="Q458">
        <v>179693</v>
      </c>
      <c r="R458">
        <v>737082</v>
      </c>
      <c r="S458">
        <v>1.851</v>
      </c>
      <c r="T458">
        <v>9.4420000000000002</v>
      </c>
      <c r="U458">
        <v>352433</v>
      </c>
      <c r="V458">
        <v>3.63</v>
      </c>
      <c r="W458">
        <v>18.882999999999999</v>
      </c>
      <c r="X458">
        <v>7</v>
      </c>
      <c r="Y458">
        <v>13</v>
      </c>
      <c r="Z458">
        <v>20050</v>
      </c>
    </row>
    <row r="459" spans="1:26" x14ac:dyDescent="0.25">
      <c r="A459">
        <v>2023</v>
      </c>
      <c r="B459" t="s">
        <v>61</v>
      </c>
      <c r="C459">
        <v>2670</v>
      </c>
      <c r="D459">
        <v>140673</v>
      </c>
      <c r="E459">
        <v>7673421</v>
      </c>
      <c r="F459">
        <v>7547866</v>
      </c>
      <c r="G459">
        <v>7470</v>
      </c>
      <c r="H459">
        <v>5.3239999999999998</v>
      </c>
      <c r="I459">
        <v>6751</v>
      </c>
      <c r="J459">
        <v>4.8109999999999999</v>
      </c>
      <c r="K459">
        <v>954515</v>
      </c>
      <c r="L459">
        <v>202030</v>
      </c>
      <c r="M459">
        <v>752485</v>
      </c>
      <c r="N459">
        <v>2.677</v>
      </c>
      <c r="O459">
        <v>12.646000000000001</v>
      </c>
      <c r="P459">
        <v>703443</v>
      </c>
      <c r="Q459">
        <v>172637</v>
      </c>
      <c r="R459">
        <v>530806</v>
      </c>
      <c r="S459">
        <v>2.2869999999999999</v>
      </c>
      <c r="T459">
        <v>9.32</v>
      </c>
      <c r="U459">
        <v>251072</v>
      </c>
      <c r="V459">
        <v>3.3260000000000001</v>
      </c>
      <c r="W459">
        <v>18.64</v>
      </c>
      <c r="X459" t="s">
        <v>62</v>
      </c>
      <c r="Y459" t="s">
        <v>62</v>
      </c>
      <c r="Z459" t="s">
        <v>62</v>
      </c>
    </row>
    <row r="460" spans="1:26" x14ac:dyDescent="0.25">
      <c r="A460">
        <v>2023</v>
      </c>
      <c r="B460" t="s">
        <v>63</v>
      </c>
      <c r="C460">
        <v>1498</v>
      </c>
      <c r="D460">
        <v>153232</v>
      </c>
      <c r="E460">
        <v>7955557</v>
      </c>
      <c r="F460">
        <v>7871739</v>
      </c>
      <c r="G460">
        <v>8483</v>
      </c>
      <c r="H460">
        <v>5.5759999999999996</v>
      </c>
      <c r="I460">
        <v>6269</v>
      </c>
      <c r="J460">
        <v>4.1210000000000004</v>
      </c>
      <c r="K460">
        <v>896218</v>
      </c>
      <c r="L460">
        <v>198413</v>
      </c>
      <c r="M460">
        <v>697805</v>
      </c>
      <c r="N460">
        <v>2.5209999999999999</v>
      </c>
      <c r="O460">
        <v>11.385</v>
      </c>
      <c r="P460">
        <v>729474</v>
      </c>
      <c r="Q460">
        <v>146812</v>
      </c>
      <c r="R460">
        <v>582662</v>
      </c>
      <c r="S460">
        <v>1.865</v>
      </c>
      <c r="T460">
        <v>9.2669999999999995</v>
      </c>
      <c r="U460">
        <v>166744</v>
      </c>
      <c r="V460">
        <v>2.1179999999999999</v>
      </c>
      <c r="W460">
        <v>18.533999999999999</v>
      </c>
      <c r="X460">
        <v>0</v>
      </c>
      <c r="Y460">
        <v>0</v>
      </c>
      <c r="Z460">
        <v>0</v>
      </c>
    </row>
    <row r="461" spans="1:26" x14ac:dyDescent="0.25">
      <c r="A461">
        <v>2023</v>
      </c>
      <c r="B461" t="s">
        <v>64</v>
      </c>
      <c r="C461">
        <v>1210</v>
      </c>
      <c r="D461">
        <v>746655</v>
      </c>
      <c r="E461">
        <v>41106423</v>
      </c>
      <c r="F461">
        <v>40756263</v>
      </c>
      <c r="G461">
        <v>43468</v>
      </c>
      <c r="H461">
        <v>5.8040000000000003</v>
      </c>
      <c r="I461">
        <v>48000</v>
      </c>
      <c r="J461">
        <v>6.4089999999999998</v>
      </c>
      <c r="K461">
        <v>4154613</v>
      </c>
      <c r="L461">
        <v>923560</v>
      </c>
      <c r="M461">
        <v>3231053</v>
      </c>
      <c r="N461">
        <v>2.266</v>
      </c>
      <c r="O461">
        <v>10.194000000000001</v>
      </c>
      <c r="P461">
        <v>3464301</v>
      </c>
      <c r="Q461">
        <v>927896</v>
      </c>
      <c r="R461">
        <v>2536405</v>
      </c>
      <c r="S461">
        <v>2.2770000000000001</v>
      </c>
      <c r="T461">
        <v>8.5</v>
      </c>
      <c r="U461">
        <v>690312</v>
      </c>
      <c r="V461">
        <v>1.694</v>
      </c>
      <c r="W461">
        <v>17</v>
      </c>
      <c r="X461">
        <v>0</v>
      </c>
      <c r="Y461">
        <v>0</v>
      </c>
      <c r="Z461">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729E2F2C-41A1-424E-B781-A4248481524E}">
  <ds:schemaRefs/>
</ds:datastoreItem>
</file>

<file path=customXml/itemProps2.xml><?xml version="1.0" encoding="utf-8"?>
<ds:datastoreItem xmlns:ds="http://schemas.openxmlformats.org/officeDocument/2006/customXml" ds:itemID="{D8DCB511-EDDC-48E0-92B1-6C8466A34ED0}">
  <ds:schemaRefs/>
</ds:datastoreItem>
</file>

<file path=customXml/itemProps3.xml><?xml version="1.0" encoding="utf-8"?>
<ds:datastoreItem xmlns:ds="http://schemas.openxmlformats.org/officeDocument/2006/customXml" ds:itemID="{17E659B4-5F34-4875-BFD2-26038E92794F}">
  <ds:schemaRefs/>
</ds:datastoreItem>
</file>

<file path=customXml/itemProps4.xml><?xml version="1.0" encoding="utf-8"?>
<ds:datastoreItem xmlns:ds="http://schemas.openxmlformats.org/officeDocument/2006/customXml" ds:itemID="{A1AEE005-36BA-4490-9014-5B4AE1BA8B18}">
  <ds:schemaRefs/>
</ds:datastoreItem>
</file>

<file path=customXml/itemProps5.xml><?xml version="1.0" encoding="utf-8"?>
<ds:datastoreItem xmlns:ds="http://schemas.openxmlformats.org/officeDocument/2006/customXml" ds:itemID="{F7A50820-A4C0-4E65-81A7-BCE9D71172E0}">
  <ds:schemaRefs/>
</ds:datastoreItem>
</file>

<file path=customXml/itemProps6.xml><?xml version="1.0" encoding="utf-8"?>
<ds:datastoreItem xmlns:ds="http://schemas.openxmlformats.org/officeDocument/2006/customXml" ds:itemID="{A6EAA762-4A31-466F-9867-1EBF5152600F}">
  <ds:schemaRefs/>
</ds:datastoreItem>
</file>

<file path=customXml/itemProps7.xml><?xml version="1.0" encoding="utf-8"?>
<ds:datastoreItem xmlns:ds="http://schemas.openxmlformats.org/officeDocument/2006/customXml" ds:itemID="{939B1FE5-BD38-45AF-A3B8-22373A3D1303}">
  <ds:schemaRefs/>
</ds:datastoreItem>
</file>

<file path=customXml/itemProps8.xml><?xml version="1.0" encoding="utf-8"?>
<ds:datastoreItem xmlns:ds="http://schemas.openxmlformats.org/officeDocument/2006/customXml" ds:itemID="{629464AC-3E0C-4828-8664-9A368C23E5F2}">
  <ds:schemaRefs/>
</ds:datastoreItem>
</file>

<file path=customXml/itemProps9.xml><?xml version="1.0" encoding="utf-8"?>
<ds:datastoreItem xmlns:ds="http://schemas.openxmlformats.org/officeDocument/2006/customXml" ds:itemID="{468BC7A4-D67E-44B1-9982-3B639890323F}">
  <ds:schemaRefs/>
</ds:datastoreItem>
</file>

<file path=customXml/itemProps10.xml><?xml version="1.0" encoding="utf-8"?>
<ds:datastoreItem xmlns:ds="http://schemas.openxmlformats.org/officeDocument/2006/customXml" ds:itemID="{65FC414B-8795-4E92-81F1-88D7B2339ED1}">
  <ds:schemaRefs/>
</ds:datastoreItem>
</file>

<file path=customXml/itemProps11.xml><?xml version="1.0" encoding="utf-8"?>
<ds:datastoreItem xmlns:ds="http://schemas.openxmlformats.org/officeDocument/2006/customXml" ds:itemID="{B949282A-0103-404B-A232-A3E3F1980BAA}">
  <ds:schemaRefs/>
</ds:datastoreItem>
</file>

<file path=customXml/itemProps12.xml><?xml version="1.0" encoding="utf-8"?>
<ds:datastoreItem xmlns:ds="http://schemas.openxmlformats.org/officeDocument/2006/customXml" ds:itemID="{28902FE3-10CF-4881-A42B-927B14951D41}">
  <ds:schemaRefs/>
</ds:datastoreItem>
</file>

<file path=customXml/itemProps13.xml><?xml version="1.0" encoding="utf-8"?>
<ds:datastoreItem xmlns:ds="http://schemas.openxmlformats.org/officeDocument/2006/customXml" ds:itemID="{EC01ACC2-FA43-4988-919A-0C4B7683D101}">
  <ds:schemaRefs/>
</ds:datastoreItem>
</file>

<file path=customXml/itemProps14.xml><?xml version="1.0" encoding="utf-8"?>
<ds:datastoreItem xmlns:ds="http://schemas.openxmlformats.org/officeDocument/2006/customXml" ds:itemID="{79F869FD-DAEC-42D4-A110-4EF119DA975B}">
  <ds:schemaRefs/>
</ds:datastoreItem>
</file>

<file path=customXml/itemProps15.xml><?xml version="1.0" encoding="utf-8"?>
<ds:datastoreItem xmlns:ds="http://schemas.openxmlformats.org/officeDocument/2006/customXml" ds:itemID="{9DD9CE88-CE79-4E63-A4C7-D87F10FCAC76}">
  <ds:schemaRefs/>
</ds:datastoreItem>
</file>

<file path=customXml/itemProps16.xml><?xml version="1.0" encoding="utf-8"?>
<ds:datastoreItem xmlns:ds="http://schemas.openxmlformats.org/officeDocument/2006/customXml" ds:itemID="{7BC8C8C6-0A2B-4C7D-AB26-BDA3915E45F5}">
  <ds:schemaRefs/>
</ds:datastoreItem>
</file>

<file path=customXml/itemProps17.xml><?xml version="1.0" encoding="utf-8"?>
<ds:datastoreItem xmlns:ds="http://schemas.openxmlformats.org/officeDocument/2006/customXml" ds:itemID="{08D69D44-31A1-43AF-B16C-653A96B0EF35}">
  <ds:schemaRefs/>
</ds:datastoreItem>
</file>

<file path=customXml/itemProps18.xml><?xml version="1.0" encoding="utf-8"?>
<ds:datastoreItem xmlns:ds="http://schemas.openxmlformats.org/officeDocument/2006/customXml" ds:itemID="{05547398-9754-4269-9833-30549047C14A}">
  <ds:schemaRefs/>
</ds:datastoreItem>
</file>

<file path=customXml/itemProps19.xml><?xml version="1.0" encoding="utf-8"?>
<ds:datastoreItem xmlns:ds="http://schemas.openxmlformats.org/officeDocument/2006/customXml" ds:itemID="{EB26A58E-6640-4F9A-A13F-ED2DFF700067}">
  <ds:schemaRefs/>
</ds:datastoreItem>
</file>

<file path=customXml/itemProps20.xml><?xml version="1.0" encoding="utf-8"?>
<ds:datastoreItem xmlns:ds="http://schemas.openxmlformats.org/officeDocument/2006/customXml" ds:itemID="{8EF46F01-485C-483F-9967-41BCB48EC94A}">
  <ds:schemaRefs/>
</ds:datastoreItem>
</file>

<file path=customXml/itemProps21.xml><?xml version="1.0" encoding="utf-8"?>
<ds:datastoreItem xmlns:ds="http://schemas.openxmlformats.org/officeDocument/2006/customXml" ds:itemID="{765769A3-A364-43EA-BE1A-060CBE2AD095}">
  <ds:schemaRefs>
    <ds:schemaRef ds:uri="http://schemas.microsoft.com/DataMashup"/>
  </ds:schemaRefs>
</ds:datastoreItem>
</file>

<file path=customXml/itemProps22.xml><?xml version="1.0" encoding="utf-8"?>
<ds:datastoreItem xmlns:ds="http://schemas.openxmlformats.org/officeDocument/2006/customXml" ds:itemID="{40A96E96-98A8-40DA-93AC-D38CDE2ABCD1}">
  <ds:schemaRefs/>
</ds:datastoreItem>
</file>

<file path=customXml/itemProps23.xml><?xml version="1.0" encoding="utf-8"?>
<ds:datastoreItem xmlns:ds="http://schemas.openxmlformats.org/officeDocument/2006/customXml" ds:itemID="{C836CABB-2273-4BBA-9B69-E18617D1933D}">
  <ds:schemaRefs/>
</ds:datastoreItem>
</file>

<file path=customXml/itemProps24.xml><?xml version="1.0" encoding="utf-8"?>
<ds:datastoreItem xmlns:ds="http://schemas.openxmlformats.org/officeDocument/2006/customXml" ds:itemID="{86FF820E-FA0E-4CD4-8A5D-EC8B2D71EC18}">
  <ds:schemaRefs/>
</ds:datastoreItem>
</file>

<file path=customXml/itemProps25.xml><?xml version="1.0" encoding="utf-8"?>
<ds:datastoreItem xmlns:ds="http://schemas.openxmlformats.org/officeDocument/2006/customXml" ds:itemID="{78CD5B67-7242-41D5-9946-3A97E3F6317D}">
  <ds:schemaRefs/>
</ds:datastoreItem>
</file>

<file path=customXml/itemProps26.xml><?xml version="1.0" encoding="utf-8"?>
<ds:datastoreItem xmlns:ds="http://schemas.openxmlformats.org/officeDocument/2006/customXml" ds:itemID="{D5AF1E35-70A8-499D-A334-DB432550B25D}">
  <ds:schemaRefs/>
</ds:datastoreItem>
</file>

<file path=customXml/itemProps27.xml><?xml version="1.0" encoding="utf-8"?>
<ds:datastoreItem xmlns:ds="http://schemas.openxmlformats.org/officeDocument/2006/customXml" ds:itemID="{7F0024F6-FAB4-456E-884F-392EA6675C5D}">
  <ds:schemaRefs/>
</ds:datastoreItem>
</file>

<file path=customXml/itemProps28.xml><?xml version="1.0" encoding="utf-8"?>
<ds:datastoreItem xmlns:ds="http://schemas.openxmlformats.org/officeDocument/2006/customXml" ds:itemID="{8169D741-B7DD-4410-B106-2D3A6AEB4BE3}">
  <ds:schemaRefs/>
</ds:datastoreItem>
</file>

<file path=customXml/itemProps29.xml><?xml version="1.0" encoding="utf-8"?>
<ds:datastoreItem xmlns:ds="http://schemas.openxmlformats.org/officeDocument/2006/customXml" ds:itemID="{0109D4E2-3E50-4AA1-ADD4-BB9D2AA223DA}">
  <ds:schemaRefs/>
</ds:datastoreItem>
</file>

<file path=customXml/itemProps30.xml><?xml version="1.0" encoding="utf-8"?>
<ds:datastoreItem xmlns:ds="http://schemas.openxmlformats.org/officeDocument/2006/customXml" ds:itemID="{18B22868-E903-438C-8034-879544B8BADE}">
  <ds:schemaRefs/>
</ds:datastoreItem>
</file>

<file path=customXml/itemProps31.xml><?xml version="1.0" encoding="utf-8"?>
<ds:datastoreItem xmlns:ds="http://schemas.openxmlformats.org/officeDocument/2006/customXml" ds:itemID="{FF7C8462-02A5-448C-8BCA-37D00F9D7944}">
  <ds:schemaRefs/>
</ds:datastoreItem>
</file>

<file path=customXml/itemProps32.xml><?xml version="1.0" encoding="utf-8"?>
<ds:datastoreItem xmlns:ds="http://schemas.openxmlformats.org/officeDocument/2006/customXml" ds:itemID="{2E4A8D1F-8097-4E05-AF91-F25053A99E8F}">
  <ds:schemaRefs/>
</ds:datastoreItem>
</file>

<file path=customXml/itemProps33.xml><?xml version="1.0" encoding="utf-8"?>
<ds:datastoreItem xmlns:ds="http://schemas.openxmlformats.org/officeDocument/2006/customXml" ds:itemID="{F56170A7-0AD5-4C54-8300-A8965F26ED96}">
  <ds:schemaRefs/>
</ds:datastoreItem>
</file>

<file path=customXml/itemProps34.xml><?xml version="1.0" encoding="utf-8"?>
<ds:datastoreItem xmlns:ds="http://schemas.openxmlformats.org/officeDocument/2006/customXml" ds:itemID="{1D7795E8-80A3-460C-B894-EBDB1C5B75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FIRM SIZE DASHBOARD</vt:lpstr>
      <vt:lpstr>Firm size analysis</vt: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2025-12-02T08:40:16Z</dcterms:created>
  <dcterms:modified xsi:type="dcterms:W3CDTF">2026-01-26T10:33:20Z</dcterms:modified>
</cp:coreProperties>
</file>